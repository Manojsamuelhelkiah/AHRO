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nputs" state="visible" r:id="rId5"/>
    <sheet sheetId="3" name="Ref" state="veryHidden" r:id="rId6"/>
    <sheet sheetId="4" name="Flow Classes" state="visible" r:id="rId7"/>
    <sheet sheetId="5" name="Assumptions" state="visible" r:id="rId8"/>
    <sheet sheetId="6" name="Model Stack" state="visible" r:id="rId9"/>
    <sheet sheetId="7" name="Systems" state="visible" r:id="rId10"/>
    <sheet sheetId="8" name="Intent Mix" state="visible" r:id="rId11"/>
    <sheet sheetId="9" name="Results" state="visible" r:id="rId12"/>
  </sheets>
  <calcPr calcId="171027"/>
</workbook>
</file>

<file path=xl/sharedStrings.xml><?xml version="1.0" encoding="utf-8"?>
<sst xmlns="http://schemas.openxmlformats.org/spreadsheetml/2006/main" count="625" uniqueCount="360">
  <si>
    <t>HRO-COST-SHADOW-V1</t>
  </si>
  <si>
    <t>HRO Intent Flow Cost-Benefit Explorer — shadow model</t>
  </si>
  <si>
    <t/>
  </si>
  <si>
    <t>HOW TO USE</t>
  </si>
  <si>
    <t>1. Edit the YELLOW cells only: Inputs, Flow Classes (containment / sampling overrides), Assumptions (override column),</t>
  </si>
  <si>
    <t xml:space="preserve">   Model Stack (model choice) and Systems (Integrated? = No for systems the client will not connect).</t>
  </si>
  <si>
    <t>2. Results update live via formulas — they give a FAIR, DIRECTIONAL estimate of the annual business case.</t>
  </si>
  <si>
    <t>3. Upload this file back into the app (Scenario Builder → Import workbook). The app reads ONLY your inputs and</t>
  </si>
  <si>
    <t xml:space="preserve">   reprices with the exact engine — per-intent pricing, adoption ramp, fan-out, SME overrides and validation.</t>
  </si>
  <si>
    <t>IMPORTANT</t>
  </si>
  <si>
    <t>- The spreadsheet formulas are a simplified per-flow-class approximation exported from the engine at the</t>
  </si>
  <si>
    <t xml:space="preserve">  configuration current when this file was generated. The app's number is the authoritative one.</t>
  </si>
  <si>
    <t>- Do not rename sheets, delete key columns (column A) or reorder columns; the importer reads them by position.</t>
  </si>
  <si>
    <t>Key</t>
  </si>
  <si>
    <t>Input</t>
  </si>
  <si>
    <t>Value</t>
  </si>
  <si>
    <t>Notes</t>
  </si>
  <si>
    <t>annualTransactions</t>
  </si>
  <si>
    <t>Annual HR transactions</t>
  </si>
  <si>
    <t>Total yearly transaction volume in scope.</t>
  </si>
  <si>
    <t>employees</t>
  </si>
  <si>
    <t>Employees served</t>
  </si>
  <si>
    <t>Headcount served by the HRO scope.</t>
  </si>
  <si>
    <t>numSystems</t>
  </si>
  <si>
    <t>HR systems in landscape</t>
  </si>
  <si>
    <t>Systems of record the agents must touch.</t>
  </si>
  <si>
    <t>countries</t>
  </si>
  <si>
    <t>Countries</t>
  </si>
  <si>
    <t>Countries in scope (drives localization &amp; onboarding).</t>
  </si>
  <si>
    <t>sector</t>
  </si>
  <si>
    <t>Sector</t>
  </si>
  <si>
    <t>technology</t>
  </si>
  <si>
    <t>Client industry (free text).</t>
  </si>
  <si>
    <t>companyType</t>
  </si>
  <si>
    <t>Geographic span</t>
  </si>
  <si>
    <t>multi-country</t>
  </si>
  <si>
    <t>single-country | multi-country | global</t>
  </si>
  <si>
    <t>isolationTier</t>
  </si>
  <si>
    <t>Compute isolation tier</t>
  </si>
  <si>
    <t>siloed</t>
  </si>
  <si>
    <t>pooled | siloed | dedicated</t>
  </si>
  <si>
    <t>hrHourlyCostUsd</t>
  </si>
  <si>
    <t>As-is HR cost ($/hr)</t>
  </si>
  <si>
    <t>Blended hourly cost of today's HR handling.</t>
  </si>
  <si>
    <t>hitlHourlyCostUsd</t>
  </si>
  <si>
    <t>To-be HITL cost ($/hr)</t>
  </si>
  <si>
    <t>Hourly cost of human reviewers in the to-be model.</t>
  </si>
  <si>
    <t>adoptionRate</t>
  </si>
  <si>
    <t>Adoption rate (0-1, scalar)</t>
  </si>
  <si>
    <t>OPTIONAL scalar fallback. Ignored when the Y1-Y3 ramp below is filled. Blank = engine default ramp.</t>
  </si>
  <si>
    <t>hitlSamplingRate</t>
  </si>
  <si>
    <t>HITL sampling rate (0-1)</t>
  </si>
  <si>
    <t>OPTIONAL scalar fallback. Blank = per-flow-class defaults.</t>
  </si>
  <si>
    <t>landscapeMaturity</t>
  </si>
  <si>
    <t>Landscape maturity</t>
  </si>
  <si>
    <t>OPTIONAL. clean | mixed | legacy. Blank = mixed.</t>
  </si>
  <si>
    <t>contractYears</t>
  </si>
  <si>
    <t>Contract length (years)</t>
  </si>
  <si>
    <t>OPTIONAL. Blank = 3-year default.</t>
  </si>
  <si>
    <t>reworkRatePct</t>
  </si>
  <si>
    <t>As-is rework rate (%)</t>
  </si>
  <si>
    <t>OPTIONAL. Share of transactions needing rework today.</t>
  </si>
  <si>
    <t>peakLoadFactor</t>
  </si>
  <si>
    <t>Peak load factor</t>
  </si>
  <si>
    <t>OPTIONAL. 1.0-1.5 seasonal peak provisioning.</t>
  </si>
  <si>
    <t>adoptionRampY1</t>
  </si>
  <si>
    <t>Adoption ramp Year 1 (0-1)</t>
  </si>
  <si>
    <t>OPTIONAL. Fill all three or none. Fraction of volume in the automated channel that year. Blank = engine default ramp (40/75/100%).</t>
  </si>
  <si>
    <t>adoptionRampY2</t>
  </si>
  <si>
    <t>Adoption ramp Year 2 (0-1)</t>
  </si>
  <si>
    <t>adoptionRampY3</t>
  </si>
  <si>
    <t>Adoption ramp Year 3 (0-1)</t>
  </si>
  <si>
    <t>tier</t>
  </si>
  <si>
    <t>mult</t>
  </si>
  <si>
    <t>pooled</t>
  </si>
  <si>
    <t>dedicated</t>
  </si>
  <si>
    <t>company</t>
  </si>
  <si>
    <t>single-country</t>
  </si>
  <si>
    <t>global</t>
  </si>
  <si>
    <t>maturity</t>
  </si>
  <si>
    <t>clean</t>
  </si>
  <si>
    <t>mixed</t>
  </si>
  <si>
    <t>legacy</t>
  </si>
  <si>
    <t>refTier</t>
  </si>
  <si>
    <t>refLoc</t>
  </si>
  <si>
    <t>refMat</t>
  </si>
  <si>
    <t>refAdoption</t>
  </si>
  <si>
    <t>Flow class</t>
  </si>
  <si>
    <t>Share</t>
  </si>
  <si>
    <t>Txns/yr</t>
  </si>
  <si>
    <t>Default containment</t>
  </si>
  <si>
    <t>Containment override</t>
  </si>
  <si>
    <t>Effective containment</t>
  </si>
  <si>
    <t>Contained txns</t>
  </si>
  <si>
    <t>AI $/txn (ref)</t>
  </si>
  <si>
    <t>Infra $/txn (ref)</t>
  </si>
  <si>
    <t>Other $/txn (ref)</t>
  </si>
  <si>
    <t>As-is min</t>
  </si>
  <si>
    <t>To-be min</t>
  </si>
  <si>
    <t>Default HITL sampling</t>
  </si>
  <si>
    <t>Sampling override</t>
  </si>
  <si>
    <t>Effective sampling</t>
  </si>
  <si>
    <t>AI cost</t>
  </si>
  <si>
    <t>Infra cost</t>
  </si>
  <si>
    <t>Other cost</t>
  </si>
  <si>
    <t>Human cost</t>
  </si>
  <si>
    <t>Build cost</t>
  </si>
  <si>
    <t>Benefit</t>
  </si>
  <si>
    <t>Net</t>
  </si>
  <si>
    <t>fc1-deterministic</t>
  </si>
  <si>
    <t>Deterministic Self-Service</t>
  </si>
  <si>
    <t>fc2-policy</t>
  </si>
  <si>
    <t>Grounded Policy Answer</t>
  </si>
  <si>
    <t>fc3-multiagent</t>
  </si>
  <si>
    <t>Multi-Agent Transaction</t>
  </si>
  <si>
    <t>fc4-frontier</t>
  </si>
  <si>
    <t>Frontier Judgment Case</t>
  </si>
  <si>
    <t>Assumption</t>
  </si>
  <si>
    <t>Unit</t>
  </si>
  <si>
    <t>Default</t>
  </si>
  <si>
    <t>Override</t>
  </si>
  <si>
    <t>Rationale</t>
  </si>
  <si>
    <t>slm-call-cost</t>
  </si>
  <si>
    <t>Small-model (SLM) call cost</t>
  </si>
  <si>
    <t>USD per call</t>
  </si>
  <si>
    <t>Deterministic intake/intent steps run on small models (GPT-4o-mini / Phi class) at roughly $0.15-0.60 per 1M tokens; a routing call consumes ~2-5K tokens.</t>
  </si>
  <si>
    <t>llm-call-cost</t>
  </si>
  <si>
    <t>Reasoning-model (LLM) call cost</t>
  </si>
  <si>
    <t>Policy/multi-agent reasoning steps use mid-tier reasoning models (~$2-5 per 1M tokens) with 5-15K tokens of grounded context per call.</t>
  </si>
  <si>
    <t>frontier-call-cost</t>
  </si>
  <si>
    <t>Frontier-model call cost</t>
  </si>
  <si>
    <t>Deep-reasoning frontier calls (o-series / Claude-Opus class) with long context and chain-of-thought consume 30-80K tokens.</t>
  </si>
  <si>
    <t>mcp-action-cost</t>
  </si>
  <si>
    <t>MCP system action cost</t>
  </si>
  <si>
    <t>USD per system action</t>
  </si>
  <si>
    <t>Each Act get/put via the MCP integration layer costs compute, API-management and connector amortization; benchmarked against Azure API Management + Functions consumption pricing.</t>
  </si>
  <si>
    <t>infra-per-txn</t>
  </si>
  <si>
    <t>Platform infra per transaction</t>
  </si>
  <si>
    <t>USD per transaction</t>
  </si>
  <si>
    <t>Allocated share of AKS, storage, observability, gateway and vector-search infrastructure per completed transaction at pooled-tier utilization.</t>
  </si>
  <si>
    <t>tier-pooled</t>
  </si>
  <si>
    <t>Isolation tier multiplier: pooled</t>
  </si>
  <si>
    <t>multiplier</t>
  </si>
  <si>
    <t>Pooled multi-tenant tier is the cost baseline (shared compute, shared model quota).</t>
  </si>
  <si>
    <t>tier-siloed</t>
  </si>
  <si>
    <t>Isolation tier multiplier: siloed</t>
  </si>
  <si>
    <t>Siloed tier adds dedicated namespaces, storage and model quotas; ~40% infra/AI uplift per the deck's pricing slide.</t>
  </si>
  <si>
    <t>tier-dedicated</t>
  </si>
  <si>
    <t>Isolation tier multiplier: dedicated</t>
  </si>
  <si>
    <t>Dedicated single-tenant deployment forgoes pooling economics entirely; ~2.5x uplift per the deck's pricing slide.</t>
  </si>
  <si>
    <t>landscape-fanout</t>
  </si>
  <si>
    <t>Act fan-out per additional system</t>
  </si>
  <si>
    <t>multiplier per extra system</t>
  </si>
  <si>
    <t>Each additional system of record beyond the first adds ~35% of the base Act integration effort (not 100% - many intents touch only a subset of the landscape).</t>
  </si>
  <si>
    <t>country-localization</t>
  </si>
  <si>
    <t>Localization uplift per additional country</t>
  </si>
  <si>
    <t>multiplier per extra country</t>
  </si>
  <si>
    <t>Each additional country adds policy variants, language handling and regulation packs to knowledge-grounded (fc2) and frontier (fc4) flows; +3% AI/infra run cost per extra country, capped at 20 countries.</t>
  </si>
  <si>
    <t>company-multi-country</t>
  </si>
  <si>
    <t>Complexity uplift: multi-country</t>
  </si>
  <si>
    <t>Multi-country clients add localization, vendor payroll routing and policy variants to run cost.</t>
  </si>
  <si>
    <t>company-global</t>
  </si>
  <si>
    <t>Complexity uplift: global</t>
  </si>
  <si>
    <t>Global clients add time-zone follow-the-sun handling and regulatory breadth.</t>
  </si>
  <si>
    <t>Role</t>
  </si>
  <si>
    <t>Options (key — $/call)</t>
  </si>
  <si>
    <t>Selected model key</t>
  </si>
  <si>
    <t>Note</t>
  </si>
  <si>
    <t>router</t>
  </si>
  <si>
    <t>gpt-5-mini — $0.002  |  gemini-flash — $0.001  |  phi-onprem — $0.0008</t>
  </si>
  <si>
    <t>Blank = engine default. Model choice reprices AI steps exactly on re-import (spreadsheet totals do not reprice).</t>
  </si>
  <si>
    <t>reasoning</t>
  </si>
  <si>
    <t>gpt-5 — $0.02  |  claude-sonnet — $0.018  |  gemini-pro — $0.014</t>
  </si>
  <si>
    <t>frontier</t>
  </si>
  <si>
    <t>claude-opus — $0.12  |  gpt-5-pro — $0.15  |  o-series — $0.1</t>
  </si>
  <si>
    <t>data</t>
  </si>
  <si>
    <t>ldm-schema-grounded — $0.02  |  nl2sql-slm — $0.006  |  frontier-data-agent — $0.06</t>
  </si>
  <si>
    <t>System</t>
  </si>
  <si>
    <t>MCP integration</t>
  </si>
  <si>
    <t>Integrated?</t>
  </si>
  <si>
    <t>sf-ec</t>
  </si>
  <si>
    <t>SAP SuccessFactors Employee Central</t>
  </si>
  <si>
    <t>MCP tool → REST/OData connector</t>
  </si>
  <si>
    <t>Yes</t>
  </si>
  <si>
    <t>Set to No if the client will not connect this system: its act-stage actions stay manual (approx. not reflected in spreadsheet totals; exact on re-import).</t>
  </si>
  <si>
    <t>sf-ecp</t>
  </si>
  <si>
    <t>SAP SuccessFactors Employee Central Payroll</t>
  </si>
  <si>
    <t>workday</t>
  </si>
  <si>
    <t>Workday HCM</t>
  </si>
  <si>
    <t>benefits-platform</t>
  </si>
  <si>
    <t>Benefits Administration Platform</t>
  </si>
  <si>
    <t>MCP tool → API + event webhook</t>
  </si>
  <si>
    <t>time-system</t>
  </si>
  <si>
    <t>Time &amp; Attendance System</t>
  </si>
  <si>
    <t>ticketing</t>
  </si>
  <si>
    <t>Case Management / Ticketing</t>
  </si>
  <si>
    <t>knowledge-base</t>
  </si>
  <si>
    <t>Policy Knowledge Base</t>
  </si>
  <si>
    <t>MCP tool → RAG retrieval index</t>
  </si>
  <si>
    <t>idp</t>
  </si>
  <si>
    <t>Identity Provider / IAM</t>
  </si>
  <si>
    <t>MCP tool → OIDC/SCIM</t>
  </si>
  <si>
    <t>lms</t>
  </si>
  <si>
    <t>Learning Management System</t>
  </si>
  <si>
    <t>ats</t>
  </si>
  <si>
    <t>Applicant Tracking System</t>
  </si>
  <si>
    <t>doc-store</t>
  </si>
  <si>
    <t>Document Management</t>
  </si>
  <si>
    <t>MCP tool → document pipeline</t>
  </si>
  <si>
    <t>legacy-db</t>
  </si>
  <si>
    <t>Legacy HR Databases</t>
  </si>
  <si>
    <t>MCP tool → semantic data layer (LDM)</t>
  </si>
  <si>
    <t>vendor-payroll</t>
  </si>
  <si>
    <t>Local Payroll Vendors</t>
  </si>
  <si>
    <t>MCP tool → file/SFTP bridge</t>
  </si>
  <si>
    <t>Intent</t>
  </si>
  <si>
    <t>Default share</t>
  </si>
  <si>
    <t>Share override</t>
  </si>
  <si>
    <t>payslip-copy</t>
  </si>
  <si>
    <t>Payslip Copy Request</t>
  </si>
  <si>
    <t>OPTIONAL. Fraction of annual volume (0-1). Blank = default mix. Overrides reprice exactly on re-import (not in spreadsheet totals).</t>
  </si>
  <si>
    <t>salary-certificate</t>
  </si>
  <si>
    <t>Salary / Employment Certificate</t>
  </si>
  <si>
    <t>tax-form-copy</t>
  </si>
  <si>
    <t>Tax Form / Statement Copy</t>
  </si>
  <si>
    <t>bank-details-change</t>
  </si>
  <si>
    <t>Bank Details Change</t>
  </si>
  <si>
    <t>payroll-discrepancy</t>
  </si>
  <si>
    <t>Payroll Discrepancy Dispute</t>
  </si>
  <si>
    <t>overpayment-recovery</t>
  </si>
  <si>
    <t>Overpayment Recovery Setup</t>
  </si>
  <si>
    <t>off-cycle-payment</t>
  </si>
  <si>
    <t>Off-Cycle Payment Request</t>
  </si>
  <si>
    <t>garnishment-query</t>
  </si>
  <si>
    <t>Garnishment / Wage Attachment Query</t>
  </si>
  <si>
    <t>pay-frequency-question</t>
  </si>
  <si>
    <t>Pay Schedule Question</t>
  </si>
  <si>
    <t>leave-balance</t>
  </si>
  <si>
    <t>Leave Balance Inquiry</t>
  </si>
  <si>
    <t>leave-request</t>
  </si>
  <si>
    <t>Leave Request Submission</t>
  </si>
  <si>
    <t>leave-cancellation</t>
  </si>
  <si>
    <t>Leave Cancellation / Change</t>
  </si>
  <si>
    <t>parental-leave-guidance</t>
  </si>
  <si>
    <t>Parental Leave Guidance</t>
  </si>
  <si>
    <t>sick-leave-certificate</t>
  </si>
  <si>
    <t>Sick Note Submission</t>
  </si>
  <si>
    <t>leave-of-absence-case</t>
  </si>
  <si>
    <t>Extended Leave of Absence Case</t>
  </si>
  <si>
    <t>public-holiday-question</t>
  </si>
  <si>
    <t>Holiday Calendar Question</t>
  </si>
  <si>
    <t>carryover-policy</t>
  </si>
  <si>
    <t>Leave Carryover Policy Question</t>
  </si>
  <si>
    <t>missing-clock-punch</t>
  </si>
  <si>
    <t>Missing Clock Punch Correction</t>
  </si>
  <si>
    <t>overtime-inquiry</t>
  </si>
  <si>
    <t>Overtime Balance / Payment Inquiry</t>
  </si>
  <si>
    <t>schedule-change-request</t>
  </si>
  <si>
    <t>Schedule / Shift Change Request</t>
  </si>
  <si>
    <t>timesheet-reminder-dispute</t>
  </si>
  <si>
    <t>Timesheet Rejection Dispute</t>
  </si>
  <si>
    <t>time-quota-question</t>
  </si>
  <si>
    <t>Time Account Question</t>
  </si>
  <si>
    <t>benefits-enrollment</t>
  </si>
  <si>
    <t>Benefits Enrollment</t>
  </si>
  <si>
    <t>life-event-change</t>
  </si>
  <si>
    <t>Qualifying Life Event Change</t>
  </si>
  <si>
    <t>benefits-eligibility</t>
  </si>
  <si>
    <t>Benefits Eligibility Question</t>
  </si>
  <si>
    <t>pension-contribution-change</t>
  </si>
  <si>
    <t>Pension Contribution Change</t>
  </si>
  <si>
    <t>benefits-claim-issue</t>
  </si>
  <si>
    <t>Benefits Claim Escalation</t>
  </si>
  <si>
    <t>dependent-add</t>
  </si>
  <si>
    <t>Add / Remove Dependent</t>
  </si>
  <si>
    <t>onboarding-status</t>
  </si>
  <si>
    <t>Onboarding Status Inquiry</t>
  </si>
  <si>
    <t>new-hire-setup</t>
  </si>
  <si>
    <t>New Hire Data Setup</t>
  </si>
  <si>
    <t>contract-generation</t>
  </si>
  <si>
    <t>Employment Contract Generation</t>
  </si>
  <si>
    <t>probation-confirmation</t>
  </si>
  <si>
    <t>Probation Period Confirmation</t>
  </si>
  <si>
    <t>referral-question</t>
  </si>
  <si>
    <t>Referral Program Question</t>
  </si>
  <si>
    <t>background-check-chase</t>
  </si>
  <si>
    <t>Background Check Follow-Up</t>
  </si>
  <si>
    <t>training-enrollment</t>
  </si>
  <si>
    <t>Training Course Enrollment</t>
  </si>
  <si>
    <t>certification-tracking</t>
  </si>
  <si>
    <t>Certification Expiry Question</t>
  </si>
  <si>
    <t>tuition-reimbursement</t>
  </si>
  <si>
    <t>Tuition Reimbursement Request</t>
  </si>
  <si>
    <t>performance-cycle-question</t>
  </si>
  <si>
    <t>Performance Review Process Question</t>
  </si>
  <si>
    <t>mandatory-training-chase</t>
  </si>
  <si>
    <t>Compliance Training Escalation</t>
  </si>
  <si>
    <t>cross-border-relocation</t>
  </si>
  <si>
    <t>Cross-Border Relocation Case</t>
  </si>
  <si>
    <t>visa-status-question</t>
  </si>
  <si>
    <t>Work Authorization Question</t>
  </si>
  <si>
    <t>domestic-transfer</t>
  </si>
  <si>
    <t>Domestic Transfer Processing</t>
  </si>
  <si>
    <t>remote-work-request</t>
  </si>
  <si>
    <t>Work-From-Abroad Request</t>
  </si>
  <si>
    <t>relocation-allowance</t>
  </si>
  <si>
    <t>Relocation Allowance Question</t>
  </si>
  <si>
    <t>retirement-estimate</t>
  </si>
  <si>
    <t>Retirement Date / Pension Estimate</t>
  </si>
  <si>
    <t>retirement-initiation</t>
  </si>
  <si>
    <t>Retirement Process Initiation</t>
  </si>
  <si>
    <t>offboarding-exit</t>
  </si>
  <si>
    <t>Voluntary Exit Offboarding</t>
  </si>
  <si>
    <t>final-pay-question</t>
  </si>
  <si>
    <t>Final Settlement Question</t>
  </si>
  <si>
    <t>reference-letter</t>
  </si>
  <si>
    <t>Employment Reference Letter</t>
  </si>
  <si>
    <t>address-change</t>
  </si>
  <si>
    <t>Address Change</t>
  </si>
  <si>
    <t>name-change</t>
  </si>
  <si>
    <t>Legal Name Change</t>
  </si>
  <si>
    <t>emergency-contact-update</t>
  </si>
  <si>
    <t>Emergency Contact Update</t>
  </si>
  <si>
    <t>org-data-correction</t>
  </si>
  <si>
    <t>Org Assignment Correction</t>
  </si>
  <si>
    <t>data-privacy-request</t>
  </si>
  <si>
    <t>Data Subject Access Request</t>
  </si>
  <si>
    <t>employee-data-report</t>
  </si>
  <si>
    <t>Manager Team Data Report</t>
  </si>
  <si>
    <t>policy-question</t>
  </si>
  <si>
    <t>General Policy Question</t>
  </si>
  <si>
    <t>code-of-conduct-question</t>
  </si>
  <si>
    <t>Code of Conduct Clarification</t>
  </si>
  <si>
    <t>grievance-intake</t>
  </si>
  <si>
    <t>Grievance / Complaint Intake</t>
  </si>
  <si>
    <t>works-council-query</t>
  </si>
  <si>
    <t>Works Council Agreement Query</t>
  </si>
  <si>
    <t>policy-exception-request</t>
  </si>
  <si>
    <t>Policy Exception Request</t>
  </si>
  <si>
    <t>Result (annual, directional)</t>
  </si>
  <si>
    <t>USD</t>
  </si>
  <si>
    <t>How it is computed</t>
  </si>
  <si>
    <t>AI consumption</t>
  </si>
  <si>
    <t>Per-flow-class AI unit rates x volume, scaled by isolation tier and localization.</t>
  </si>
  <si>
    <t>Infrastructure</t>
  </si>
  <si>
    <t>Per-flow-class infra unit rates x volume, scaled like AI.</t>
  </si>
  <si>
    <t>Other run cost</t>
  </si>
  <si>
    <t>Other per-txn cost + knowledge maintenance ($6000/country/yr).</t>
  </si>
  <si>
    <t>Human (HITL + fallback)</t>
  </si>
  <si>
    <t>Sampled review minutes on contained txns + full as-is handling on uncontained fallbacks.</t>
  </si>
  <si>
    <t>Platform build (amortized)</t>
  </si>
  <si>
    <t>Flow-class build cost amortized over expected volume, scaled by landscape maturity.</t>
  </si>
  <si>
    <t>Client onboarding (annualized)</t>
  </si>
  <si>
    <t>$40000 base + $12000/system + $8000/country, over the contract term.</t>
  </si>
  <si>
    <t>TOTAL COST</t>
  </si>
  <si>
    <t>Sum of all cost lines above.</t>
  </si>
  <si>
    <t>Benefit (time eliminated + dollarized)</t>
  </si>
  <si>
    <t>Handling minutes eliminated on contained txns at the as-is rate + dollarized step benefits.</t>
  </si>
  <si>
    <t>NET ANNUAL VALUE</t>
  </si>
  <si>
    <t>Benefit minus total cost. Directional — upload this file to the app for the exact engine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</si>
</sst>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6" x14ac:knownFonts="1">
    <font>
      <color theme="1"/>
      <family val="2"/>
      <scheme val="minor"/>
      <sz val="11"/>
      <name val="Calibri"/>
    </font>
    <font>
      <color rgb="FFFFFFFF"/>
      <sz val="8"/>
    </font>
    <font>
      <b/>
      <sz val="14"/>
    </font>
    <font>
      <b/>
    </font>
    <font>
      <color rgb="FF6B728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8EDF5"/>
      </patternFill>
    </fill>
    <fill>
      <patternFill patternType="solid">
        <fgColor rgb="FFFFF7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3" borderId="0" xfId="0" applyFill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2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24" customWidth="1"/>
    <col min="2" max="2" width="30" customWidth="1"/>
    <col min="3" max="3" width="18" customWidth="1"/>
    <col min="4" max="4" width="70" customWidth="1"/>
  </cols>
  <sheetData>
    <row r="1" spans="1:4" x14ac:dyDescent="0.25">
      <c r="A1" s="3" t="s">
        <v>13</v>
      </c>
      <c r="B1" s="3" t="s">
        <v>14</v>
      </c>
      <c r="C1" s="3" t="s">
        <v>15</v>
      </c>
      <c r="D1" s="3" t="s">
        <v>16</v>
      </c>
    </row>
    <row r="2" spans="1:4" x14ac:dyDescent="0.25">
      <c r="A2" s="4" t="s">
        <v>17</v>
      </c>
      <c r="B2" t="s">
        <v>18</v>
      </c>
      <c r="C2" s="5">
        <v>50000</v>
      </c>
      <c r="D2" t="s">
        <v>19</v>
      </c>
    </row>
    <row r="3" spans="1:4" x14ac:dyDescent="0.25">
      <c r="A3" s="4" t="s">
        <v>20</v>
      </c>
      <c r="B3" t="s">
        <v>21</v>
      </c>
      <c r="C3" s="5">
        <v>5000</v>
      </c>
      <c r="D3" t="s">
        <v>22</v>
      </c>
    </row>
    <row r="4" spans="1:4" x14ac:dyDescent="0.25">
      <c r="A4" s="4" t="s">
        <v>23</v>
      </c>
      <c r="B4" t="s">
        <v>24</v>
      </c>
      <c r="C4" s="5">
        <v>5</v>
      </c>
      <c r="D4" t="s">
        <v>25</v>
      </c>
    </row>
    <row r="5" spans="1:4" x14ac:dyDescent="0.25">
      <c r="A5" s="4" t="s">
        <v>26</v>
      </c>
      <c r="B5" t="s">
        <v>27</v>
      </c>
      <c r="C5" s="5">
        <v>3</v>
      </c>
      <c r="D5" t="s">
        <v>28</v>
      </c>
    </row>
    <row r="6" spans="1:4" x14ac:dyDescent="0.25">
      <c r="A6" s="4" t="s">
        <v>29</v>
      </c>
      <c r="B6" t="s">
        <v>30</v>
      </c>
      <c r="C6" s="5" t="s">
        <v>31</v>
      </c>
      <c r="D6" t="s">
        <v>32</v>
      </c>
    </row>
    <row r="7" spans="1:4" x14ac:dyDescent="0.25">
      <c r="A7" s="4" t="s">
        <v>33</v>
      </c>
      <c r="B7" t="s">
        <v>34</v>
      </c>
      <c r="C7" s="5" t="s">
        <v>35</v>
      </c>
      <c r="D7" t="s">
        <v>36</v>
      </c>
    </row>
    <row r="8" spans="1:4" x14ac:dyDescent="0.25">
      <c r="A8" s="4" t="s">
        <v>37</v>
      </c>
      <c r="B8" t="s">
        <v>38</v>
      </c>
      <c r="C8" s="5" t="s">
        <v>39</v>
      </c>
      <c r="D8" t="s">
        <v>40</v>
      </c>
    </row>
    <row r="9" spans="1:4" x14ac:dyDescent="0.25">
      <c r="A9" s="4" t="s">
        <v>41</v>
      </c>
      <c r="B9" t="s">
        <v>42</v>
      </c>
      <c r="C9" s="5">
        <v>45</v>
      </c>
      <c r="D9" t="s">
        <v>43</v>
      </c>
    </row>
    <row r="10" spans="1:4" x14ac:dyDescent="0.25">
      <c r="A10" s="4" t="s">
        <v>44</v>
      </c>
      <c r="B10" t="s">
        <v>45</v>
      </c>
      <c r="C10" s="5">
        <v>35</v>
      </c>
      <c r="D10" t="s">
        <v>46</v>
      </c>
    </row>
    <row r="11" spans="1:4" x14ac:dyDescent="0.25">
      <c r="A11" s="4" t="s">
        <v>47</v>
      </c>
      <c r="B11" t="s">
        <v>48</v>
      </c>
      <c r="C11" s="5" t="s">
        <v>2</v>
      </c>
      <c r="D11" t="s">
        <v>49</v>
      </c>
    </row>
    <row r="12" spans="1:4" x14ac:dyDescent="0.25">
      <c r="A12" s="4" t="s">
        <v>50</v>
      </c>
      <c r="B12" t="s">
        <v>51</v>
      </c>
      <c r="C12" s="5" t="s">
        <v>2</v>
      </c>
      <c r="D12" t="s">
        <v>52</v>
      </c>
    </row>
    <row r="13" spans="1:4" x14ac:dyDescent="0.25">
      <c r="A13" s="4" t="s">
        <v>53</v>
      </c>
      <c r="B13" t="s">
        <v>54</v>
      </c>
      <c r="C13" s="5" t="s">
        <v>2</v>
      </c>
      <c r="D13" t="s">
        <v>55</v>
      </c>
    </row>
    <row r="14" spans="1:4" x14ac:dyDescent="0.25">
      <c r="A14" s="4" t="s">
        <v>56</v>
      </c>
      <c r="B14" t="s">
        <v>57</v>
      </c>
      <c r="C14" s="5" t="s">
        <v>2</v>
      </c>
      <c r="D14" t="s">
        <v>58</v>
      </c>
    </row>
    <row r="15" spans="1:4" x14ac:dyDescent="0.25">
      <c r="A15" s="4" t="s">
        <v>59</v>
      </c>
      <c r="B15" t="s">
        <v>60</v>
      </c>
      <c r="C15" s="5" t="s">
        <v>2</v>
      </c>
      <c r="D15" t="s">
        <v>61</v>
      </c>
    </row>
    <row r="16" spans="1:4" x14ac:dyDescent="0.25">
      <c r="A16" s="4" t="s">
        <v>62</v>
      </c>
      <c r="B16" t="s">
        <v>63</v>
      </c>
      <c r="C16" s="5" t="s">
        <v>2</v>
      </c>
      <c r="D16" t="s">
        <v>64</v>
      </c>
    </row>
    <row r="17" spans="1:4" x14ac:dyDescent="0.25">
      <c r="A17" s="4" t="s">
        <v>65</v>
      </c>
      <c r="B17" t="s">
        <v>66</v>
      </c>
      <c r="C17" s="5" t="s">
        <v>2</v>
      </c>
      <c r="D17" t="s">
        <v>67</v>
      </c>
    </row>
    <row r="18" spans="1:4" x14ac:dyDescent="0.25">
      <c r="A18" s="4" t="s">
        <v>68</v>
      </c>
      <c r="B18" t="s">
        <v>69</v>
      </c>
      <c r="C18" s="5" t="s">
        <v>2</v>
      </c>
      <c r="D18" t="s">
        <v>67</v>
      </c>
    </row>
    <row r="19" spans="1:4" x14ac:dyDescent="0.25">
      <c r="A19" s="4" t="s">
        <v>70</v>
      </c>
      <c r="B19" t="s">
        <v>71</v>
      </c>
      <c r="C19" s="5" t="s">
        <v>2</v>
      </c>
      <c r="D19" t="s">
        <v>67</v>
      </c>
    </row>
  </sheetData>
  <dataValidations count="3">
    <dataValidation type="list" allowBlank="1" sqref="C13">
      <formula1>"clean,mixed,legacy"</formula1>
    </dataValidation>
    <dataValidation type="list" sqref="C7">
      <formula1>"single-country,multi-country,global"</formula1>
    </dataValidation>
    <dataValidation type="list" sqref="C8">
      <formula1>"pooled,siloed,dedicated"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72</v>
      </c>
      <c r="B1" t="s">
        <v>73</v>
      </c>
    </row>
    <row r="2" spans="1:2" x14ac:dyDescent="0.25">
      <c r="A2" t="s">
        <v>74</v>
      </c>
      <c r="B2">
        <v>1</v>
      </c>
    </row>
    <row r="3" spans="1:2" x14ac:dyDescent="0.25">
      <c r="A3" t="s">
        <v>39</v>
      </c>
      <c r="B3">
        <v>1.4</v>
      </c>
    </row>
    <row r="4" spans="1:2" x14ac:dyDescent="0.25">
      <c r="A4" t="s">
        <v>75</v>
      </c>
      <c r="B4">
        <v>2.5</v>
      </c>
    </row>
    <row r="5" spans="1:2" x14ac:dyDescent="0.25">
      <c r="A5" t="s">
        <v>76</v>
      </c>
      <c r="B5" t="s">
        <v>73</v>
      </c>
    </row>
    <row r="6" spans="1:2" x14ac:dyDescent="0.25">
      <c r="A6" t="s">
        <v>77</v>
      </c>
      <c r="B6">
        <v>1</v>
      </c>
    </row>
    <row r="7" spans="1:2" x14ac:dyDescent="0.25">
      <c r="A7" t="s">
        <v>35</v>
      </c>
      <c r="B7">
        <v>1.1</v>
      </c>
    </row>
    <row r="8" spans="1:2" x14ac:dyDescent="0.25">
      <c r="A8" t="s">
        <v>78</v>
      </c>
      <c r="B8">
        <v>1.2</v>
      </c>
    </row>
    <row r="9" spans="1:2" x14ac:dyDescent="0.25">
      <c r="A9" t="s">
        <v>79</v>
      </c>
      <c r="B9" t="s">
        <v>73</v>
      </c>
    </row>
    <row r="10" spans="1:2" x14ac:dyDescent="0.25">
      <c r="A10" t="s">
        <v>80</v>
      </c>
      <c r="B10">
        <v>0.8</v>
      </c>
    </row>
    <row r="11" spans="1:2" x14ac:dyDescent="0.25">
      <c r="A11" t="s">
        <v>81</v>
      </c>
      <c r="B11">
        <v>1</v>
      </c>
    </row>
    <row r="12" spans="1:2" x14ac:dyDescent="0.25">
      <c r="A12" t="s">
        <v>82</v>
      </c>
      <c r="B12">
        <v>1.4</v>
      </c>
    </row>
    <row r="13" spans="1:2" x14ac:dyDescent="0.25">
      <c r="A13" t="s">
        <v>83</v>
      </c>
      <c r="B13">
        <v>1.4</v>
      </c>
    </row>
    <row r="14" spans="1:2" x14ac:dyDescent="0.25">
      <c r="A14" t="s">
        <v>84</v>
      </c>
      <c r="B14">
        <v>1.1</v>
      </c>
    </row>
    <row r="15" spans="1:2" x14ac:dyDescent="0.25">
      <c r="A15" t="s">
        <v>85</v>
      </c>
      <c r="B15">
        <v>1</v>
      </c>
    </row>
    <row r="16" spans="1:2" x14ac:dyDescent="0.25">
      <c r="A16" t="s">
        <v>86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8" customWidth="1"/>
    <col min="2" max="2" width="28" customWidth="1"/>
    <col min="3" max="3" width="10" customWidth="1"/>
    <col min="4" max="8" width="12" customWidth="1"/>
    <col min="9" max="11" width="11" customWidth="1"/>
    <col min="12" max="13" width="10" customWidth="1"/>
    <col min="14" max="16" width="12" customWidth="1"/>
    <col min="17" max="21" width="13" customWidth="1"/>
    <col min="22" max="23" width="14" customWidth="1"/>
  </cols>
  <sheetData>
    <row r="1" spans="1:23" x14ac:dyDescent="0.25">
      <c r="A1" s="3" t="s">
        <v>13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</row>
    <row r="2" spans="1:23" x14ac:dyDescent="0.25">
      <c r="A2" s="4" t="s">
        <v>109</v>
      </c>
      <c r="B2" t="s">
        <v>110</v>
      </c>
      <c r="C2" s="4">
        <v>0.49724994547051565</v>
      </c>
      <c r="D2">
        <f>C2*IF(Inputs!$C$17&lt;&gt;"",AVERAGE(Inputs!$C$17,Inputs!$C$18,Inputs!$C$19),IF(Inputs!$C$11="",0.71667,Inputs!$C$11))*Inputs!$C$2</f>
      </c>
      <c r="E2" s="4">
        <v>0.95</v>
      </c>
      <c r="F2" s="5" t="s">
        <v>2</v>
      </c>
      <c r="G2">
        <f>IF(F2="",E2,F2)</f>
      </c>
      <c r="H2">
        <f>D2*G2</f>
      </c>
      <c r="I2" s="4">
        <v>0.030518838174273852</v>
      </c>
      <c r="J2" s="4">
        <v>0.021226647510373443</v>
      </c>
      <c r="K2" s="4">
        <v>0</v>
      </c>
      <c r="L2" s="4">
        <v>12.314759928867815</v>
      </c>
      <c r="M2" s="4">
        <v>0.5032602252519266</v>
      </c>
      <c r="N2" s="4">
        <v>0.05</v>
      </c>
      <c r="O2" s="5" t="s">
        <v>2</v>
      </c>
      <c r="P2">
        <f>IF(O2="",IF(Inputs!$C$12="",N2,Inputs!$C$12),O2)</f>
      </c>
      <c r="Q2">
        <f>D2*I2*(VLOOKUP(Inputs!$C$8,Ref!$A$2:$B$4,2,FALSE)/Ref!$B$13)</f>
      </c>
      <c r="R2">
        <f>D2*J2*(VLOOKUP(Inputs!$C$8,Ref!$A$2:$B$4,2,FALSE)/Ref!$B$13)</f>
      </c>
      <c r="S2">
        <f>D2*K2</f>
      </c>
      <c r="T2">
        <f>H2*(M2/60)*Inputs!$C$10*P2+(D2-H2)*(L2/60)*Inputs!$C$10</f>
      </c>
      <c r="U2">
        <f>D2*0.8986666666666666*(IF(Inputs!$C$13="",Ref!$B$11,VLOOKUP(Inputs!$C$13,Ref!$A$10:$B$12,2,FALSE))/Ref!$B$15)</f>
      </c>
      <c r="V2">
        <f>H2*MAX(0,L2-M2)/60*Inputs!$C$9+H2*0.35857291049199796</f>
      </c>
      <c r="W2">
        <f>V2-Q2-R2-S2-T2-U2</f>
      </c>
    </row>
    <row r="3" spans="1:23" x14ac:dyDescent="0.25">
      <c r="A3" s="4" t="s">
        <v>111</v>
      </c>
      <c r="B3" t="s">
        <v>112</v>
      </c>
      <c r="C3" s="4">
        <v>0.3430346689618176</v>
      </c>
      <c r="D3">
        <f>C3*IF(Inputs!$C$17&lt;&gt;"",AVERAGE(Inputs!$C$17,Inputs!$C$18,Inputs!$C$19),IF(Inputs!$C$11="",0.71667,Inputs!$C$11))*Inputs!$C$2</f>
      </c>
      <c r="E3" s="4">
        <v>0.88</v>
      </c>
      <c r="F3" s="5" t="s">
        <v>2</v>
      </c>
      <c r="G3">
        <f>IF(F3="",E3,F3)</f>
      </c>
      <c r="H3">
        <f>D3*G3</f>
      </c>
      <c r="I3" s="4">
        <v>0.08174621013232512</v>
      </c>
      <c r="J3" s="4">
        <v>0.01878239047258979</v>
      </c>
      <c r="K3" s="4">
        <v>0.9899474776293609</v>
      </c>
      <c r="L3" s="4">
        <v>22.33459357277883</v>
      </c>
      <c r="M3" s="4">
        <v>3.0205361746004473</v>
      </c>
      <c r="N3" s="4">
        <v>0.15</v>
      </c>
      <c r="O3" s="5" t="s">
        <v>2</v>
      </c>
      <c r="P3">
        <f>IF(O3="",IF(Inputs!$C$12="",N3,Inputs!$C$12),O3)</f>
      </c>
      <c r="Q3">
        <f>D3*I3*(VLOOKUP(Inputs!$C$8,Ref!$A$2:$B$4,2,FALSE)/Ref!$B$13)*(VLOOKUP(Inputs!$C$7,Ref!$A$6:$B$8,2,FALSE)/Ref!$B$14)</f>
      </c>
      <c r="R3">
        <f>D3*J3*(VLOOKUP(Inputs!$C$8,Ref!$A$2:$B$4,2,FALSE)/Ref!$B$13)*(VLOOKUP(Inputs!$C$7,Ref!$A$6:$B$8,2,FALSE)/Ref!$B$14)</f>
      </c>
      <c r="S3">
        <f>D3*K3</f>
      </c>
      <c r="T3">
        <f>H3*(M3/60)*Inputs!$C$10*P3+(D3-H3)*(L3/60)*Inputs!$C$10</f>
      </c>
      <c r="U3">
        <f>D3*1.1266666666666663*(IF(Inputs!$C$13="",Ref!$B$11,VLOOKUP(Inputs!$C$13,Ref!$A$10:$B$12,2,FALSE))/Ref!$B$15)</f>
      </c>
      <c r="V3">
        <f>H3*MAX(0,L3-M3)/60*Inputs!$C$9+H3*1.9255918113077755</f>
      </c>
      <c r="W3">
        <f>V3-Q3-R3-S3-T3-U3</f>
      </c>
    </row>
    <row r="4" spans="1:23" x14ac:dyDescent="0.25">
      <c r="A4" s="4" t="s">
        <v>113</v>
      </c>
      <c r="B4" t="s">
        <v>114</v>
      </c>
      <c r="C4" s="4">
        <v>0.1390943979060678</v>
      </c>
      <c r="D4">
        <f>C4*IF(Inputs!$C$17&lt;&gt;"",AVERAGE(Inputs!$C$17,Inputs!$C$18,Inputs!$C$19),IF(Inputs!$C$11="",0.71667,Inputs!$C$11))*Inputs!$C$2</f>
      </c>
      <c r="E4" s="4">
        <v>0.8</v>
      </c>
      <c r="F4" s="5" t="s">
        <v>2</v>
      </c>
      <c r="G4">
        <f>IF(F4="",E4,F4)</f>
      </c>
      <c r="H4">
        <f>D4*G4</f>
      </c>
      <c r="I4" s="4">
        <v>0.3826181333333334</v>
      </c>
      <c r="J4" s="4">
        <v>0.03535732846153847</v>
      </c>
      <c r="K4" s="4">
        <v>0</v>
      </c>
      <c r="L4" s="4">
        <v>79.54778554778558</v>
      </c>
      <c r="M4" s="4">
        <v>12.160372960372964</v>
      </c>
      <c r="N4" s="4">
        <v>0.3</v>
      </c>
      <c r="O4" s="5" t="s">
        <v>2</v>
      </c>
      <c r="P4">
        <f>IF(O4="",IF(Inputs!$C$12="",N4,Inputs!$C$12),O4)</f>
      </c>
      <c r="Q4">
        <f>D4*I4*(VLOOKUP(Inputs!$C$8,Ref!$A$2:$B$4,2,FALSE)/Ref!$B$13)</f>
      </c>
      <c r="R4">
        <f>D4*J4*(VLOOKUP(Inputs!$C$8,Ref!$A$2:$B$4,2,FALSE)/Ref!$B$13)</f>
      </c>
      <c r="S4">
        <f>D4*K4</f>
      </c>
      <c r="T4">
        <f>H4*(M4/60)*Inputs!$C$10*P4+(D4-H4)*(L4/60)*Inputs!$C$10</f>
      </c>
      <c r="U4">
        <f>D4*2.326666666666666*(IF(Inputs!$C$13="",Ref!$B$11,VLOOKUP(Inputs!$C$13,Ref!$A$10:$B$12,2,FALSE))/Ref!$B$15)</f>
      </c>
      <c r="V4">
        <f>H4*MAX(0,L4-M4)/60*Inputs!$C$9+H4*7.284195804195772</f>
      </c>
      <c r="W4">
        <f>V4-Q4-R4-S4-T4-U4</f>
      </c>
    </row>
    <row r="5" spans="1:23" x14ac:dyDescent="0.25">
      <c r="A5" s="4" t="s">
        <v>115</v>
      </c>
      <c r="B5" t="s">
        <v>116</v>
      </c>
      <c r="C5" s="4">
        <v>0.020620987661598856</v>
      </c>
      <c r="D5">
        <f>C5*IF(Inputs!$C$17&lt;&gt;"",AVERAGE(Inputs!$C$17,Inputs!$C$18,Inputs!$C$19),IF(Inputs!$C$11="",0.71667,Inputs!$C$11))*Inputs!$C$2</f>
      </c>
      <c r="E5" s="4">
        <v>0.7</v>
      </c>
      <c r="F5" s="5" t="s">
        <v>2</v>
      </c>
      <c r="G5">
        <f>IF(F5="",E5,F5)</f>
      </c>
      <c r="H5">
        <f>D5*G5</f>
      </c>
      <c r="I5" s="4">
        <v>1.0732362666666666</v>
      </c>
      <c r="J5" s="4">
        <v>0.04753548800000001</v>
      </c>
      <c r="K5" s="4">
        <v>0.989947477629361</v>
      </c>
      <c r="L5" s="4">
        <v>177.73584905660377</v>
      </c>
      <c r="M5" s="4">
        <v>41.16352201257862</v>
      </c>
      <c r="N5" s="4">
        <v>0.6</v>
      </c>
      <c r="O5" s="5" t="s">
        <v>2</v>
      </c>
      <c r="P5">
        <f>IF(O5="",IF(Inputs!$C$12="",N5,Inputs!$C$12),O5)</f>
      </c>
      <c r="Q5">
        <f>D5*I5*(VLOOKUP(Inputs!$C$8,Ref!$A$2:$B$4,2,FALSE)/Ref!$B$13)*(VLOOKUP(Inputs!$C$7,Ref!$A$6:$B$8,2,FALSE)/Ref!$B$14)</f>
      </c>
      <c r="R5">
        <f>D5*J5*(VLOOKUP(Inputs!$C$8,Ref!$A$2:$B$4,2,FALSE)/Ref!$B$13)*(VLOOKUP(Inputs!$C$7,Ref!$A$6:$B$8,2,FALSE)/Ref!$B$14)</f>
      </c>
      <c r="S5">
        <f>D5*K5</f>
      </c>
      <c r="T5">
        <f>H5*(M5/60)*Inputs!$C$10*P5+(D5-H5)*(L5/60)*Inputs!$C$10</f>
      </c>
      <c r="U5">
        <f>D5*13.326666666666668*(IF(Inputs!$C$13="",Ref!$B$11,VLOOKUP(Inputs!$C$13,Ref!$A$10:$B$12,2,FALSE))/Ref!$B$15)</f>
      </c>
      <c r="V5">
        <f>H5*MAX(0,L5-M5)/60*Inputs!$C$9+H5*24.349056603773587</f>
      </c>
      <c r="W5">
        <f>V5-Q5-R5-S5-T5-U5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6" customWidth="1"/>
    <col min="2" max="2" width="40" customWidth="1"/>
    <col min="3" max="3" width="16" customWidth="1"/>
    <col min="4" max="5" width="12" customWidth="1"/>
    <col min="6" max="6" width="80" customWidth="1"/>
  </cols>
  <sheetData>
    <row r="1" spans="1:6" x14ac:dyDescent="0.25">
      <c r="A1" s="3" t="s">
        <v>13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</row>
    <row r="2" spans="1:6" x14ac:dyDescent="0.25">
      <c r="A2" s="4" t="s">
        <v>122</v>
      </c>
      <c r="B2" s="4" t="s">
        <v>123</v>
      </c>
      <c r="C2" s="4" t="s">
        <v>124</v>
      </c>
      <c r="D2" s="4">
        <v>0.002</v>
      </c>
      <c r="E2" s="5" t="s">
        <v>2</v>
      </c>
      <c r="F2" s="4" t="s">
        <v>125</v>
      </c>
    </row>
    <row r="3" spans="1:6" x14ac:dyDescent="0.25">
      <c r="A3" s="4" t="s">
        <v>126</v>
      </c>
      <c r="B3" s="4" t="s">
        <v>127</v>
      </c>
      <c r="C3" s="4" t="s">
        <v>124</v>
      </c>
      <c r="D3" s="4">
        <v>0.02</v>
      </c>
      <c r="E3" s="5" t="s">
        <v>2</v>
      </c>
      <c r="F3" s="4" t="s">
        <v>128</v>
      </c>
    </row>
    <row r="4" spans="1:6" x14ac:dyDescent="0.25">
      <c r="A4" s="4" t="s">
        <v>129</v>
      </c>
      <c r="B4" s="4" t="s">
        <v>130</v>
      </c>
      <c r="C4" s="4" t="s">
        <v>124</v>
      </c>
      <c r="D4" s="4">
        <v>0.12</v>
      </c>
      <c r="E4" s="5" t="s">
        <v>2</v>
      </c>
      <c r="F4" s="4" t="s">
        <v>131</v>
      </c>
    </row>
    <row r="5" spans="1:6" x14ac:dyDescent="0.25">
      <c r="A5" s="4" t="s">
        <v>132</v>
      </c>
      <c r="B5" s="4" t="s">
        <v>133</v>
      </c>
      <c r="C5" s="4" t="s">
        <v>134</v>
      </c>
      <c r="D5" s="4">
        <v>0.004</v>
      </c>
      <c r="E5" s="5" t="s">
        <v>2</v>
      </c>
      <c r="F5" s="4" t="s">
        <v>135</v>
      </c>
    </row>
    <row r="6" spans="1:6" x14ac:dyDescent="0.25">
      <c r="A6" s="4" t="s">
        <v>136</v>
      </c>
      <c r="B6" s="4" t="s">
        <v>137</v>
      </c>
      <c r="C6" s="4" t="s">
        <v>138</v>
      </c>
      <c r="D6" s="4">
        <v>0.015</v>
      </c>
      <c r="E6" s="5" t="s">
        <v>2</v>
      </c>
      <c r="F6" s="4" t="s">
        <v>139</v>
      </c>
    </row>
    <row r="7" spans="1:6" x14ac:dyDescent="0.25">
      <c r="A7" s="4" t="s">
        <v>140</v>
      </c>
      <c r="B7" s="4" t="s">
        <v>141</v>
      </c>
      <c r="C7" s="4" t="s">
        <v>142</v>
      </c>
      <c r="D7" s="4">
        <v>1</v>
      </c>
      <c r="E7" s="5" t="s">
        <v>2</v>
      </c>
      <c r="F7" s="4" t="s">
        <v>143</v>
      </c>
    </row>
    <row r="8" spans="1:6" x14ac:dyDescent="0.25">
      <c r="A8" s="4" t="s">
        <v>144</v>
      </c>
      <c r="B8" s="4" t="s">
        <v>145</v>
      </c>
      <c r="C8" s="4" t="s">
        <v>142</v>
      </c>
      <c r="D8" s="4">
        <v>1.4</v>
      </c>
      <c r="E8" s="5" t="s">
        <v>2</v>
      </c>
      <c r="F8" s="4" t="s">
        <v>146</v>
      </c>
    </row>
    <row r="9" spans="1:6" x14ac:dyDescent="0.25">
      <c r="A9" s="4" t="s">
        <v>147</v>
      </c>
      <c r="B9" s="4" t="s">
        <v>148</v>
      </c>
      <c r="C9" s="4" t="s">
        <v>142</v>
      </c>
      <c r="D9" s="4">
        <v>2.5</v>
      </c>
      <c r="E9" s="5" t="s">
        <v>2</v>
      </c>
      <c r="F9" s="4" t="s">
        <v>149</v>
      </c>
    </row>
    <row r="10" spans="1:6" x14ac:dyDescent="0.25">
      <c r="A10" s="4" t="s">
        <v>150</v>
      </c>
      <c r="B10" s="4" t="s">
        <v>151</v>
      </c>
      <c r="C10" s="4" t="s">
        <v>152</v>
      </c>
      <c r="D10" s="4">
        <v>0.35</v>
      </c>
      <c r="E10" s="5" t="s">
        <v>2</v>
      </c>
      <c r="F10" s="4" t="s">
        <v>153</v>
      </c>
    </row>
    <row r="11" spans="1:6" x14ac:dyDescent="0.25">
      <c r="A11" s="4" t="s">
        <v>154</v>
      </c>
      <c r="B11" s="4" t="s">
        <v>155</v>
      </c>
      <c r="C11" s="4" t="s">
        <v>156</v>
      </c>
      <c r="D11" s="4">
        <v>0.03</v>
      </c>
      <c r="E11" s="5" t="s">
        <v>2</v>
      </c>
      <c r="F11" s="4" t="s">
        <v>157</v>
      </c>
    </row>
    <row r="12" spans="1:6" x14ac:dyDescent="0.25">
      <c r="A12" s="4" t="s">
        <v>158</v>
      </c>
      <c r="B12" s="4" t="s">
        <v>159</v>
      </c>
      <c r="C12" s="4" t="s">
        <v>142</v>
      </c>
      <c r="D12" s="4">
        <v>1.1</v>
      </c>
      <c r="E12" s="5" t="s">
        <v>2</v>
      </c>
      <c r="F12" s="4" t="s">
        <v>160</v>
      </c>
    </row>
    <row r="13" spans="1:6" x14ac:dyDescent="0.25">
      <c r="A13" s="4" t="s">
        <v>161</v>
      </c>
      <c r="B13" s="4" t="s">
        <v>162</v>
      </c>
      <c r="C13" s="4" t="s">
        <v>142</v>
      </c>
      <c r="D13" s="4">
        <v>1.2</v>
      </c>
      <c r="E13" s="5" t="s">
        <v>2</v>
      </c>
      <c r="F13" s="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4" customWidth="1"/>
    <col min="2" max="2" width="36" customWidth="1"/>
    <col min="3" max="3" width="26" customWidth="1"/>
    <col min="4" max="4" width="70" customWidth="1"/>
  </cols>
  <sheetData>
    <row r="1" spans="1:4" x14ac:dyDescent="0.25">
      <c r="A1" s="3" t="s">
        <v>164</v>
      </c>
      <c r="B1" s="3" t="s">
        <v>165</v>
      </c>
      <c r="C1" s="3" t="s">
        <v>166</v>
      </c>
      <c r="D1" s="3" t="s">
        <v>167</v>
      </c>
    </row>
    <row r="2" spans="1:4" x14ac:dyDescent="0.25">
      <c r="A2" s="4" t="s">
        <v>168</v>
      </c>
      <c r="B2" s="4" t="s">
        <v>169</v>
      </c>
      <c r="C2" s="5" t="s">
        <v>2</v>
      </c>
      <c r="D2" s="4" t="s">
        <v>170</v>
      </c>
    </row>
    <row r="3" spans="1:4" x14ac:dyDescent="0.25">
      <c r="A3" s="4" t="s">
        <v>171</v>
      </c>
      <c r="B3" s="4" t="s">
        <v>172</v>
      </c>
      <c r="C3" s="5" t="s">
        <v>2</v>
      </c>
      <c r="D3" s="4" t="s">
        <v>170</v>
      </c>
    </row>
    <row r="4" spans="1:4" x14ac:dyDescent="0.25">
      <c r="A4" s="4" t="s">
        <v>173</v>
      </c>
      <c r="B4" s="4" t="s">
        <v>174</v>
      </c>
      <c r="C4" s="5" t="s">
        <v>2</v>
      </c>
      <c r="D4" s="4" t="s">
        <v>170</v>
      </c>
    </row>
    <row r="5" spans="1:4" x14ac:dyDescent="0.25">
      <c r="A5" s="4" t="s">
        <v>175</v>
      </c>
      <c r="B5" s="4" t="s">
        <v>176</v>
      </c>
      <c r="C5" s="5" t="s">
        <v>2</v>
      </c>
      <c r="D5" s="4" t="s">
        <v>170</v>
      </c>
    </row>
  </sheetData>
  <dataValidations count="4">
    <dataValidation type="list" allowBlank="1" sqref="C2">
      <formula1>"gpt-5-mini,gemini-flash,phi-onprem"</formula1>
    </dataValidation>
    <dataValidation type="list" allowBlank="1" sqref="C3">
      <formula1>"gpt-5,claude-sonnet,gemini-pro"</formula1>
    </dataValidation>
    <dataValidation type="list" allowBlank="1" sqref="C4">
      <formula1>"claude-opus,gpt-5-pro,o-series"</formula1>
    </dataValidation>
    <dataValidation type="list" allowBlank="1" sqref="C5">
      <formula1>"ldm-schema-grounded,nl2sql-slm,frontier-data-agent"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38" customWidth="1"/>
    <col min="3" max="3" width="34" customWidth="1"/>
    <col min="4" max="4" width="12" customWidth="1"/>
    <col min="5" max="5" width="70" customWidth="1"/>
  </cols>
  <sheetData>
    <row r="1" spans="1:5" x14ac:dyDescent="0.25">
      <c r="A1" s="3" t="s">
        <v>13</v>
      </c>
      <c r="B1" s="3" t="s">
        <v>177</v>
      </c>
      <c r="C1" s="3" t="s">
        <v>178</v>
      </c>
      <c r="D1" s="3" t="s">
        <v>179</v>
      </c>
      <c r="E1" s="3" t="s">
        <v>167</v>
      </c>
    </row>
    <row r="2" spans="1:5" x14ac:dyDescent="0.25">
      <c r="A2" s="4" t="s">
        <v>180</v>
      </c>
      <c r="B2" s="4" t="s">
        <v>181</v>
      </c>
      <c r="C2" s="4" t="s">
        <v>182</v>
      </c>
      <c r="D2" s="5" t="s">
        <v>183</v>
      </c>
      <c r="E2" s="4" t="s">
        <v>184</v>
      </c>
    </row>
    <row r="3" spans="1:5" x14ac:dyDescent="0.25">
      <c r="A3" s="4" t="s">
        <v>185</v>
      </c>
      <c r="B3" s="4" t="s">
        <v>186</v>
      </c>
      <c r="C3" s="4" t="s">
        <v>182</v>
      </c>
      <c r="D3" s="5" t="s">
        <v>183</v>
      </c>
      <c r="E3" s="4" t="s">
        <v>184</v>
      </c>
    </row>
    <row r="4" spans="1:5" x14ac:dyDescent="0.25">
      <c r="A4" s="4" t="s">
        <v>187</v>
      </c>
      <c r="B4" s="4" t="s">
        <v>188</v>
      </c>
      <c r="C4" s="4" t="s">
        <v>182</v>
      </c>
      <c r="D4" s="5" t="s">
        <v>183</v>
      </c>
      <c r="E4" s="4" t="s">
        <v>184</v>
      </c>
    </row>
    <row r="5" spans="1:5" x14ac:dyDescent="0.25">
      <c r="A5" s="4" t="s">
        <v>189</v>
      </c>
      <c r="B5" s="4" t="s">
        <v>190</v>
      </c>
      <c r="C5" s="4" t="s">
        <v>191</v>
      </c>
      <c r="D5" s="5" t="s">
        <v>183</v>
      </c>
      <c r="E5" s="4" t="s">
        <v>184</v>
      </c>
    </row>
    <row r="6" spans="1:5" x14ac:dyDescent="0.25">
      <c r="A6" s="4" t="s">
        <v>192</v>
      </c>
      <c r="B6" s="4" t="s">
        <v>193</v>
      </c>
      <c r="C6" s="4" t="s">
        <v>182</v>
      </c>
      <c r="D6" s="5" t="s">
        <v>183</v>
      </c>
      <c r="E6" s="4" t="s">
        <v>184</v>
      </c>
    </row>
    <row r="7" spans="1:5" x14ac:dyDescent="0.25">
      <c r="A7" s="4" t="s">
        <v>194</v>
      </c>
      <c r="B7" s="4" t="s">
        <v>195</v>
      </c>
      <c r="C7" s="4" t="s">
        <v>191</v>
      </c>
      <c r="D7" s="5" t="s">
        <v>183</v>
      </c>
      <c r="E7" s="4" t="s">
        <v>184</v>
      </c>
    </row>
    <row r="8" spans="1:5" x14ac:dyDescent="0.25">
      <c r="A8" s="4" t="s">
        <v>196</v>
      </c>
      <c r="B8" s="4" t="s">
        <v>197</v>
      </c>
      <c r="C8" s="4" t="s">
        <v>198</v>
      </c>
      <c r="D8" s="5" t="s">
        <v>183</v>
      </c>
      <c r="E8" s="4" t="s">
        <v>184</v>
      </c>
    </row>
    <row r="9" spans="1:5" x14ac:dyDescent="0.25">
      <c r="A9" s="4" t="s">
        <v>199</v>
      </c>
      <c r="B9" s="4" t="s">
        <v>200</v>
      </c>
      <c r="C9" s="4" t="s">
        <v>201</v>
      </c>
      <c r="D9" s="5" t="s">
        <v>183</v>
      </c>
      <c r="E9" s="4" t="s">
        <v>184</v>
      </c>
    </row>
    <row r="10" spans="1:5" x14ac:dyDescent="0.25">
      <c r="A10" s="4" t="s">
        <v>202</v>
      </c>
      <c r="B10" s="4" t="s">
        <v>203</v>
      </c>
      <c r="C10" s="4" t="s">
        <v>182</v>
      </c>
      <c r="D10" s="5" t="s">
        <v>183</v>
      </c>
      <c r="E10" s="4" t="s">
        <v>184</v>
      </c>
    </row>
    <row r="11" spans="1:5" x14ac:dyDescent="0.25">
      <c r="A11" s="4" t="s">
        <v>204</v>
      </c>
      <c r="B11" s="4" t="s">
        <v>205</v>
      </c>
      <c r="C11" s="4" t="s">
        <v>182</v>
      </c>
      <c r="D11" s="5" t="s">
        <v>183</v>
      </c>
      <c r="E11" s="4" t="s">
        <v>184</v>
      </c>
    </row>
    <row r="12" spans="1:5" x14ac:dyDescent="0.25">
      <c r="A12" s="4" t="s">
        <v>206</v>
      </c>
      <c r="B12" s="4" t="s">
        <v>207</v>
      </c>
      <c r="C12" s="4" t="s">
        <v>208</v>
      </c>
      <c r="D12" s="5" t="s">
        <v>183</v>
      </c>
      <c r="E12" s="4" t="s">
        <v>184</v>
      </c>
    </row>
    <row r="13" spans="1:5" x14ac:dyDescent="0.25">
      <c r="A13" s="4" t="s">
        <v>209</v>
      </c>
      <c r="B13" s="4" t="s">
        <v>210</v>
      </c>
      <c r="C13" s="4" t="s">
        <v>211</v>
      </c>
      <c r="D13" s="5" t="s">
        <v>183</v>
      </c>
      <c r="E13" s="4" t="s">
        <v>184</v>
      </c>
    </row>
    <row r="14" spans="1:5" x14ac:dyDescent="0.25">
      <c r="A14" s="4" t="s">
        <v>212</v>
      </c>
      <c r="B14" s="4" t="s">
        <v>213</v>
      </c>
      <c r="C14" s="4" t="s">
        <v>214</v>
      </c>
      <c r="D14" s="5" t="s">
        <v>183</v>
      </c>
      <c r="E14" s="4" t="s">
        <v>184</v>
      </c>
    </row>
  </sheetData>
  <dataValidations count="2">
    <dataValidation type="list" sqref="D10:D14">
      <formula1>"Yes,No"</formula1>
    </dataValidation>
    <dataValidation type="list" sqref="D2:D1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FormatPr defaultRowHeight="15" outlineLevelRow="0" outlineLevelCol="0" x14ac:dyDescent="55"/>
  <cols>
    <col min="1" max="1" width="24" customWidth="1"/>
    <col min="2" max="2" width="44" customWidth="1"/>
    <col min="3" max="3" width="20" customWidth="1"/>
    <col min="4" max="5" width="14" customWidth="1"/>
    <col min="6" max="6" width="60" customWidth="1"/>
  </cols>
  <sheetData>
    <row r="1" spans="1:6" x14ac:dyDescent="0.25">
      <c r="A1" s="3" t="s">
        <v>13</v>
      </c>
      <c r="B1" s="3" t="s">
        <v>215</v>
      </c>
      <c r="C1" s="3" t="s">
        <v>87</v>
      </c>
      <c r="D1" s="3" t="s">
        <v>216</v>
      </c>
      <c r="E1" s="3" t="s">
        <v>217</v>
      </c>
      <c r="F1" s="3" t="s">
        <v>167</v>
      </c>
    </row>
    <row r="2" spans="1:6" x14ac:dyDescent="0.25">
      <c r="A2" s="4" t="s">
        <v>218</v>
      </c>
      <c r="B2" s="4" t="s">
        <v>219</v>
      </c>
      <c r="C2" s="4" t="s">
        <v>109</v>
      </c>
      <c r="D2" s="4">
        <v>0.04716063501795051</v>
      </c>
      <c r="E2" s="5" t="s">
        <v>2</v>
      </c>
      <c r="F2" s="4" t="s">
        <v>220</v>
      </c>
    </row>
    <row r="3" spans="1:6" x14ac:dyDescent="0.25">
      <c r="A3" s="4" t="s">
        <v>221</v>
      </c>
      <c r="B3" s="4" t="s">
        <v>222</v>
      </c>
      <c r="C3" s="4" t="s">
        <v>109</v>
      </c>
      <c r="D3" s="4">
        <v>0.028296381010770307</v>
      </c>
      <c r="E3" s="5" t="s">
        <v>2</v>
      </c>
      <c r="F3" s="4" t="s">
        <v>220</v>
      </c>
    </row>
    <row r="4" spans="1:6" x14ac:dyDescent="0.25">
      <c r="A4" s="4" t="s">
        <v>223</v>
      </c>
      <c r="B4" s="4" t="s">
        <v>224</v>
      </c>
      <c r="C4" s="4" t="s">
        <v>109</v>
      </c>
      <c r="D4" s="4">
        <v>0.023580317508975254</v>
      </c>
      <c r="E4" s="5" t="s">
        <v>2</v>
      </c>
      <c r="F4" s="4" t="s">
        <v>220</v>
      </c>
    </row>
    <row r="5" spans="1:6" x14ac:dyDescent="0.25">
      <c r="A5" s="4" t="s">
        <v>225</v>
      </c>
      <c r="B5" s="4" t="s">
        <v>226</v>
      </c>
      <c r="C5" s="4" t="s">
        <v>111</v>
      </c>
      <c r="D5" s="4">
        <v>0.023580317508975254</v>
      </c>
      <c r="E5" s="5" t="s">
        <v>2</v>
      </c>
      <c r="F5" s="4" t="s">
        <v>220</v>
      </c>
    </row>
    <row r="6" spans="1:6" x14ac:dyDescent="0.25">
      <c r="A6" s="4" t="s">
        <v>227</v>
      </c>
      <c r="B6" s="4" t="s">
        <v>228</v>
      </c>
      <c r="C6" s="4" t="s">
        <v>113</v>
      </c>
      <c r="D6" s="4">
        <v>0.020750679407898227</v>
      </c>
      <c r="E6" s="5" t="s">
        <v>2</v>
      </c>
      <c r="F6" s="4" t="s">
        <v>220</v>
      </c>
    </row>
    <row r="7" spans="1:6" x14ac:dyDescent="0.25">
      <c r="A7" s="4" t="s">
        <v>229</v>
      </c>
      <c r="B7" s="4" t="s">
        <v>230</v>
      </c>
      <c r="C7" s="4" t="s">
        <v>113</v>
      </c>
      <c r="D7" s="4">
        <v>0.007781504777961835</v>
      </c>
      <c r="E7" s="5" t="s">
        <v>2</v>
      </c>
      <c r="F7" s="4" t="s">
        <v>220</v>
      </c>
    </row>
    <row r="8" spans="1:6" x14ac:dyDescent="0.25">
      <c r="A8" s="4" t="s">
        <v>231</v>
      </c>
      <c r="B8" s="4" t="s">
        <v>232</v>
      </c>
      <c r="C8" s="4" t="s">
        <v>113</v>
      </c>
      <c r="D8" s="4">
        <v>0.007781504777961835</v>
      </c>
      <c r="E8" s="5" t="s">
        <v>2</v>
      </c>
      <c r="F8" s="4" t="s">
        <v>220</v>
      </c>
    </row>
    <row r="9" spans="1:6" x14ac:dyDescent="0.25">
      <c r="A9" s="4" t="s">
        <v>233</v>
      </c>
      <c r="B9" s="4" t="s">
        <v>234</v>
      </c>
      <c r="C9" s="4" t="s">
        <v>111</v>
      </c>
      <c r="D9" s="4">
        <v>0.00565927620215406</v>
      </c>
      <c r="E9" s="5" t="s">
        <v>2</v>
      </c>
      <c r="F9" s="4" t="s">
        <v>220</v>
      </c>
    </row>
    <row r="10" spans="1:6" x14ac:dyDescent="0.25">
      <c r="A10" s="4" t="s">
        <v>235</v>
      </c>
      <c r="B10" s="4" t="s">
        <v>236</v>
      </c>
      <c r="C10" s="4" t="s">
        <v>111</v>
      </c>
      <c r="D10" s="4">
        <v>0.018864254007180205</v>
      </c>
      <c r="E10" s="5" t="s">
        <v>2</v>
      </c>
      <c r="F10" s="4" t="s">
        <v>220</v>
      </c>
    </row>
    <row r="11" spans="1:6" x14ac:dyDescent="0.25">
      <c r="A11" s="4" t="s">
        <v>237</v>
      </c>
      <c r="B11" s="4" t="s">
        <v>238</v>
      </c>
      <c r="C11" s="4" t="s">
        <v>109</v>
      </c>
      <c r="D11" s="4">
        <v>0.05305571439519432</v>
      </c>
      <c r="E11" s="5" t="s">
        <v>2</v>
      </c>
      <c r="F11" s="4" t="s">
        <v>220</v>
      </c>
    </row>
    <row r="12" spans="1:6" x14ac:dyDescent="0.25">
      <c r="A12" s="4" t="s">
        <v>239</v>
      </c>
      <c r="B12" s="4" t="s">
        <v>240</v>
      </c>
      <c r="C12" s="4" t="s">
        <v>109</v>
      </c>
      <c r="D12" s="4">
        <v>0.04244457151615546</v>
      </c>
      <c r="E12" s="5" t="s">
        <v>2</v>
      </c>
      <c r="F12" s="4" t="s">
        <v>220</v>
      </c>
    </row>
    <row r="13" spans="1:6" x14ac:dyDescent="0.25">
      <c r="A13" s="4" t="s">
        <v>241</v>
      </c>
      <c r="B13" s="4" t="s">
        <v>242</v>
      </c>
      <c r="C13" s="4" t="s">
        <v>109</v>
      </c>
      <c r="D13" s="4">
        <v>0.02122228575807773</v>
      </c>
      <c r="E13" s="5" t="s">
        <v>2</v>
      </c>
      <c r="F13" s="4" t="s">
        <v>220</v>
      </c>
    </row>
    <row r="14" spans="1:6" x14ac:dyDescent="0.25">
      <c r="A14" s="4" t="s">
        <v>243</v>
      </c>
      <c r="B14" s="4" t="s">
        <v>244</v>
      </c>
      <c r="C14" s="4" t="s">
        <v>111</v>
      </c>
      <c r="D14" s="4">
        <v>0.01326392859879858</v>
      </c>
      <c r="E14" s="5" t="s">
        <v>2</v>
      </c>
      <c r="F14" s="4" t="s">
        <v>220</v>
      </c>
    </row>
    <row r="15" spans="1:6" x14ac:dyDescent="0.25">
      <c r="A15" s="4" t="s">
        <v>245</v>
      </c>
      <c r="B15" s="4" t="s">
        <v>246</v>
      </c>
      <c r="C15" s="4" t="s">
        <v>109</v>
      </c>
      <c r="D15" s="4">
        <v>0.02652785719759716</v>
      </c>
      <c r="E15" s="5" t="s">
        <v>2</v>
      </c>
      <c r="F15" s="4" t="s">
        <v>220</v>
      </c>
    </row>
    <row r="16" spans="1:6" x14ac:dyDescent="0.25">
      <c r="A16" s="4" t="s">
        <v>247</v>
      </c>
      <c r="B16" s="4" t="s">
        <v>248</v>
      </c>
      <c r="C16" s="4" t="s">
        <v>113</v>
      </c>
      <c r="D16" s="4">
        <v>0.005836128583471376</v>
      </c>
      <c r="E16" s="5" t="s">
        <v>2</v>
      </c>
      <c r="F16" s="4" t="s">
        <v>220</v>
      </c>
    </row>
    <row r="17" spans="1:6" x14ac:dyDescent="0.25">
      <c r="A17" s="4" t="s">
        <v>249</v>
      </c>
      <c r="B17" s="4" t="s">
        <v>250</v>
      </c>
      <c r="C17" s="4" t="s">
        <v>109</v>
      </c>
      <c r="D17" s="4">
        <v>0.015916714318558296</v>
      </c>
      <c r="E17" s="5" t="s">
        <v>2</v>
      </c>
      <c r="F17" s="4" t="s">
        <v>220</v>
      </c>
    </row>
    <row r="18" spans="1:6" x14ac:dyDescent="0.25">
      <c r="A18" s="4" t="s">
        <v>251</v>
      </c>
      <c r="B18" s="4" t="s">
        <v>252</v>
      </c>
      <c r="C18" s="4" t="s">
        <v>111</v>
      </c>
      <c r="D18" s="4">
        <v>0.015916714318558296</v>
      </c>
      <c r="E18" s="5" t="s">
        <v>2</v>
      </c>
      <c r="F18" s="4" t="s">
        <v>220</v>
      </c>
    </row>
    <row r="19" spans="1:6" x14ac:dyDescent="0.25">
      <c r="A19" s="4" t="s">
        <v>253</v>
      </c>
      <c r="B19" s="4" t="s">
        <v>254</v>
      </c>
      <c r="C19" s="4" t="s">
        <v>109</v>
      </c>
      <c r="D19" s="4">
        <v>0.01650622225628268</v>
      </c>
      <c r="E19" s="5" t="s">
        <v>2</v>
      </c>
      <c r="F19" s="4" t="s">
        <v>220</v>
      </c>
    </row>
    <row r="20" spans="1:6" x14ac:dyDescent="0.25">
      <c r="A20" s="4" t="s">
        <v>255</v>
      </c>
      <c r="B20" s="4" t="s">
        <v>256</v>
      </c>
      <c r="C20" s="4" t="s">
        <v>111</v>
      </c>
      <c r="D20" s="4">
        <v>0.009432127003590102</v>
      </c>
      <c r="E20" s="5" t="s">
        <v>2</v>
      </c>
      <c r="F20" s="4" t="s">
        <v>220</v>
      </c>
    </row>
    <row r="21" spans="1:6" x14ac:dyDescent="0.25">
      <c r="A21" s="4" t="s">
        <v>257</v>
      </c>
      <c r="B21" s="4" t="s">
        <v>258</v>
      </c>
      <c r="C21" s="4" t="s">
        <v>111</v>
      </c>
      <c r="D21" s="4">
        <v>0.009432127003590102</v>
      </c>
      <c r="E21" s="5" t="s">
        <v>2</v>
      </c>
      <c r="F21" s="4" t="s">
        <v>220</v>
      </c>
    </row>
    <row r="22" spans="1:6" x14ac:dyDescent="0.25">
      <c r="A22" s="4" t="s">
        <v>259</v>
      </c>
      <c r="B22" s="4" t="s">
        <v>260</v>
      </c>
      <c r="C22" s="4" t="s">
        <v>113</v>
      </c>
      <c r="D22" s="4">
        <v>0.0038907523889809177</v>
      </c>
      <c r="E22" s="5" t="s">
        <v>2</v>
      </c>
      <c r="F22" s="4" t="s">
        <v>220</v>
      </c>
    </row>
    <row r="23" spans="1:6" x14ac:dyDescent="0.25">
      <c r="A23" s="4" t="s">
        <v>261</v>
      </c>
      <c r="B23" s="4" t="s">
        <v>262</v>
      </c>
      <c r="C23" s="4" t="s">
        <v>109</v>
      </c>
      <c r="D23" s="4">
        <v>0.009432127003590102</v>
      </c>
      <c r="E23" s="5" t="s">
        <v>2</v>
      </c>
      <c r="F23" s="4" t="s">
        <v>220</v>
      </c>
    </row>
    <row r="24" spans="1:6" x14ac:dyDescent="0.25">
      <c r="A24" s="4" t="s">
        <v>263</v>
      </c>
      <c r="B24" s="4" t="s">
        <v>264</v>
      </c>
      <c r="C24" s="4" t="s">
        <v>111</v>
      </c>
      <c r="D24" s="4">
        <v>0.03065441276166783</v>
      </c>
      <c r="E24" s="5" t="s">
        <v>2</v>
      </c>
      <c r="F24" s="4" t="s">
        <v>220</v>
      </c>
    </row>
    <row r="25" spans="1:6" x14ac:dyDescent="0.25">
      <c r="A25" s="4" t="s">
        <v>265</v>
      </c>
      <c r="B25" s="4" t="s">
        <v>266</v>
      </c>
      <c r="C25" s="4" t="s">
        <v>113</v>
      </c>
      <c r="D25" s="4">
        <v>0.01685992701891731</v>
      </c>
      <c r="E25" s="5" t="s">
        <v>2</v>
      </c>
      <c r="F25" s="4" t="s">
        <v>220</v>
      </c>
    </row>
    <row r="26" spans="1:6" x14ac:dyDescent="0.25">
      <c r="A26" s="4" t="s">
        <v>267</v>
      </c>
      <c r="B26" s="4" t="s">
        <v>268</v>
      </c>
      <c r="C26" s="4" t="s">
        <v>111</v>
      </c>
      <c r="D26" s="4">
        <v>0.03065441276166783</v>
      </c>
      <c r="E26" s="5" t="s">
        <v>2</v>
      </c>
      <c r="F26" s="4" t="s">
        <v>220</v>
      </c>
    </row>
    <row r="27" spans="1:6" x14ac:dyDescent="0.25">
      <c r="A27" s="4" t="s">
        <v>269</v>
      </c>
      <c r="B27" s="4" t="s">
        <v>270</v>
      </c>
      <c r="C27" s="4" t="s">
        <v>111</v>
      </c>
      <c r="D27" s="4">
        <v>0.01915900797604239</v>
      </c>
      <c r="E27" s="5" t="s">
        <v>2</v>
      </c>
      <c r="F27" s="4" t="s">
        <v>220</v>
      </c>
    </row>
    <row r="28" spans="1:6" x14ac:dyDescent="0.25">
      <c r="A28" s="4" t="s">
        <v>271</v>
      </c>
      <c r="B28" s="4" t="s">
        <v>272</v>
      </c>
      <c r="C28" s="4" t="s">
        <v>113</v>
      </c>
      <c r="D28" s="4">
        <v>0.010115956211350384</v>
      </c>
      <c r="E28" s="5" t="s">
        <v>2</v>
      </c>
      <c r="F28" s="4" t="s">
        <v>220</v>
      </c>
    </row>
    <row r="29" spans="1:6" x14ac:dyDescent="0.25">
      <c r="A29" s="4" t="s">
        <v>273</v>
      </c>
      <c r="B29" s="4" t="s">
        <v>274</v>
      </c>
      <c r="C29" s="4" t="s">
        <v>109</v>
      </c>
      <c r="D29" s="4">
        <v>0.022990809571250874</v>
      </c>
      <c r="E29" s="5" t="s">
        <v>2</v>
      </c>
      <c r="F29" s="4" t="s">
        <v>220</v>
      </c>
    </row>
    <row r="30" spans="1:6" x14ac:dyDescent="0.25">
      <c r="A30" s="4" t="s">
        <v>275</v>
      </c>
      <c r="B30" s="4" t="s">
        <v>276</v>
      </c>
      <c r="C30" s="4" t="s">
        <v>109</v>
      </c>
      <c r="D30" s="4">
        <v>0.02593834925987278</v>
      </c>
      <c r="E30" s="5" t="s">
        <v>2</v>
      </c>
      <c r="F30" s="4" t="s">
        <v>220</v>
      </c>
    </row>
    <row r="31" spans="1:6" x14ac:dyDescent="0.25">
      <c r="A31" s="4" t="s">
        <v>277</v>
      </c>
      <c r="B31" s="4" t="s">
        <v>278</v>
      </c>
      <c r="C31" s="4" t="s">
        <v>113</v>
      </c>
      <c r="D31" s="4">
        <v>0.021399138139395046</v>
      </c>
      <c r="E31" s="5" t="s">
        <v>2</v>
      </c>
      <c r="F31" s="4" t="s">
        <v>220</v>
      </c>
    </row>
    <row r="32" spans="1:6" x14ac:dyDescent="0.25">
      <c r="A32" s="4" t="s">
        <v>279</v>
      </c>
      <c r="B32" s="4" t="s">
        <v>280</v>
      </c>
      <c r="C32" s="4" t="s">
        <v>111</v>
      </c>
      <c r="D32" s="4">
        <v>0.016211468287420486</v>
      </c>
      <c r="E32" s="5" t="s">
        <v>2</v>
      </c>
      <c r="F32" s="4" t="s">
        <v>220</v>
      </c>
    </row>
    <row r="33" spans="1:6" x14ac:dyDescent="0.25">
      <c r="A33" s="4" t="s">
        <v>281</v>
      </c>
      <c r="B33" s="4" t="s">
        <v>282</v>
      </c>
      <c r="C33" s="4" t="s">
        <v>109</v>
      </c>
      <c r="D33" s="4">
        <v>0.01296917462993639</v>
      </c>
      <c r="E33" s="5" t="s">
        <v>2</v>
      </c>
      <c r="F33" s="4" t="s">
        <v>220</v>
      </c>
    </row>
    <row r="34" spans="1:6" x14ac:dyDescent="0.25">
      <c r="A34" s="4" t="s">
        <v>283</v>
      </c>
      <c r="B34" s="4" t="s">
        <v>284</v>
      </c>
      <c r="C34" s="4" t="s">
        <v>111</v>
      </c>
      <c r="D34" s="4">
        <v>0.01296917462993639</v>
      </c>
      <c r="E34" s="5" t="s">
        <v>2</v>
      </c>
      <c r="F34" s="4" t="s">
        <v>220</v>
      </c>
    </row>
    <row r="35" spans="1:6" x14ac:dyDescent="0.25">
      <c r="A35" s="4" t="s">
        <v>285</v>
      </c>
      <c r="B35" s="4" t="s">
        <v>286</v>
      </c>
      <c r="C35" s="4" t="s">
        <v>113</v>
      </c>
      <c r="D35" s="4">
        <v>0.008559655255758018</v>
      </c>
      <c r="E35" s="5" t="s">
        <v>2</v>
      </c>
      <c r="F35" s="4" t="s">
        <v>220</v>
      </c>
    </row>
    <row r="36" spans="1:6" x14ac:dyDescent="0.25">
      <c r="A36" s="4" t="s">
        <v>287</v>
      </c>
      <c r="B36" s="4" t="s">
        <v>288</v>
      </c>
      <c r="C36" s="4" t="s">
        <v>109</v>
      </c>
      <c r="D36" s="4">
        <v>0.03301244451256535</v>
      </c>
      <c r="E36" s="5" t="s">
        <v>2</v>
      </c>
      <c r="F36" s="4" t="s">
        <v>220</v>
      </c>
    </row>
    <row r="37" spans="1:6" x14ac:dyDescent="0.25">
      <c r="A37" s="4" t="s">
        <v>289</v>
      </c>
      <c r="B37" s="4" t="s">
        <v>290</v>
      </c>
      <c r="C37" s="4" t="s">
        <v>109</v>
      </c>
      <c r="D37" s="4">
        <v>0.020632777820353346</v>
      </c>
      <c r="E37" s="5" t="s">
        <v>2</v>
      </c>
      <c r="F37" s="4" t="s">
        <v>220</v>
      </c>
    </row>
    <row r="38" spans="1:6" x14ac:dyDescent="0.25">
      <c r="A38" s="4" t="s">
        <v>291</v>
      </c>
      <c r="B38" s="4" t="s">
        <v>292</v>
      </c>
      <c r="C38" s="4" t="s">
        <v>111</v>
      </c>
      <c r="D38" s="4">
        <v>0.012379666692212006</v>
      </c>
      <c r="E38" s="5" t="s">
        <v>2</v>
      </c>
      <c r="F38" s="4" t="s">
        <v>220</v>
      </c>
    </row>
    <row r="39" spans="1:6" x14ac:dyDescent="0.25">
      <c r="A39" s="4" t="s">
        <v>293</v>
      </c>
      <c r="B39" s="4" t="s">
        <v>294</v>
      </c>
      <c r="C39" s="4" t="s">
        <v>111</v>
      </c>
      <c r="D39" s="4">
        <v>0.020632777820353346</v>
      </c>
      <c r="E39" s="5" t="s">
        <v>2</v>
      </c>
      <c r="F39" s="4" t="s">
        <v>220</v>
      </c>
    </row>
    <row r="40" spans="1:6" x14ac:dyDescent="0.25">
      <c r="A40" s="4" t="s">
        <v>295</v>
      </c>
      <c r="B40" s="4" t="s">
        <v>296</v>
      </c>
      <c r="C40" s="4" t="s">
        <v>109</v>
      </c>
      <c r="D40" s="4">
        <v>0.020632777820353346</v>
      </c>
      <c r="E40" s="5" t="s">
        <v>2</v>
      </c>
      <c r="F40" s="4" t="s">
        <v>220</v>
      </c>
    </row>
    <row r="41" spans="1:6" x14ac:dyDescent="0.25">
      <c r="A41" s="4" t="s">
        <v>297</v>
      </c>
      <c r="B41" s="4" t="s">
        <v>298</v>
      </c>
      <c r="C41" s="4" t="s">
        <v>115</v>
      </c>
      <c r="D41" s="4">
        <v>0.003631368896382189</v>
      </c>
      <c r="E41" s="5" t="s">
        <v>2</v>
      </c>
      <c r="F41" s="4" t="s">
        <v>220</v>
      </c>
    </row>
    <row r="42" spans="1:6" x14ac:dyDescent="0.25">
      <c r="A42" s="4" t="s">
        <v>299</v>
      </c>
      <c r="B42" s="4" t="s">
        <v>300</v>
      </c>
      <c r="C42" s="4" t="s">
        <v>111</v>
      </c>
      <c r="D42" s="4">
        <v>0.009903733353769605</v>
      </c>
      <c r="E42" s="5" t="s">
        <v>2</v>
      </c>
      <c r="F42" s="4" t="s">
        <v>220</v>
      </c>
    </row>
    <row r="43" spans="1:6" x14ac:dyDescent="0.25">
      <c r="A43" s="4" t="s">
        <v>301</v>
      </c>
      <c r="B43" s="4" t="s">
        <v>302</v>
      </c>
      <c r="C43" s="4" t="s">
        <v>113</v>
      </c>
      <c r="D43" s="4">
        <v>0.010894106689146567</v>
      </c>
      <c r="E43" s="5" t="s">
        <v>2</v>
      </c>
      <c r="F43" s="4" t="s">
        <v>220</v>
      </c>
    </row>
    <row r="44" spans="1:6" x14ac:dyDescent="0.25">
      <c r="A44" s="4" t="s">
        <v>303</v>
      </c>
      <c r="B44" s="4" t="s">
        <v>304</v>
      </c>
      <c r="C44" s="4" t="s">
        <v>115</v>
      </c>
      <c r="D44" s="4">
        <v>0.007262737792764378</v>
      </c>
      <c r="E44" s="5" t="s">
        <v>2</v>
      </c>
      <c r="F44" s="4" t="s">
        <v>220</v>
      </c>
    </row>
    <row r="45" spans="1:6" x14ac:dyDescent="0.25">
      <c r="A45" s="4" t="s">
        <v>305</v>
      </c>
      <c r="B45" s="4" t="s">
        <v>306</v>
      </c>
      <c r="C45" s="4" t="s">
        <v>111</v>
      </c>
      <c r="D45" s="4">
        <v>0.008253111128141338</v>
      </c>
      <c r="E45" s="5" t="s">
        <v>2</v>
      </c>
      <c r="F45" s="4" t="s">
        <v>220</v>
      </c>
    </row>
    <row r="46" spans="1:6" x14ac:dyDescent="0.25">
      <c r="A46" s="4" t="s">
        <v>307</v>
      </c>
      <c r="B46" s="4" t="s">
        <v>308</v>
      </c>
      <c r="C46" s="4" t="s">
        <v>111</v>
      </c>
      <c r="D46" s="4">
        <v>0.006189833346106003</v>
      </c>
      <c r="E46" s="5" t="s">
        <v>2</v>
      </c>
      <c r="F46" s="4" t="s">
        <v>220</v>
      </c>
    </row>
    <row r="47" spans="1:6" x14ac:dyDescent="0.25">
      <c r="A47" s="4" t="s">
        <v>309</v>
      </c>
      <c r="B47" s="4" t="s">
        <v>310</v>
      </c>
      <c r="C47" s="4" t="s">
        <v>113</v>
      </c>
      <c r="D47" s="4">
        <v>0.003177447784334415</v>
      </c>
      <c r="E47" s="5" t="s">
        <v>2</v>
      </c>
      <c r="F47" s="4" t="s">
        <v>220</v>
      </c>
    </row>
    <row r="48" spans="1:6" x14ac:dyDescent="0.25">
      <c r="A48" s="4" t="s">
        <v>311</v>
      </c>
      <c r="B48" s="4" t="s">
        <v>312</v>
      </c>
      <c r="C48" s="4" t="s">
        <v>113</v>
      </c>
      <c r="D48" s="4">
        <v>0.009078422240955472</v>
      </c>
      <c r="E48" s="5" t="s">
        <v>2</v>
      </c>
      <c r="F48" s="4" t="s">
        <v>220</v>
      </c>
    </row>
    <row r="49" spans="1:6" x14ac:dyDescent="0.25">
      <c r="A49" s="4" t="s">
        <v>313</v>
      </c>
      <c r="B49" s="4" t="s">
        <v>314</v>
      </c>
      <c r="C49" s="4" t="s">
        <v>111</v>
      </c>
      <c r="D49" s="4">
        <v>0.006189833346106003</v>
      </c>
      <c r="E49" s="5" t="s">
        <v>2</v>
      </c>
      <c r="F49" s="4" t="s">
        <v>220</v>
      </c>
    </row>
    <row r="50" spans="1:6" x14ac:dyDescent="0.25">
      <c r="A50" s="4" t="s">
        <v>315</v>
      </c>
      <c r="B50" s="4" t="s">
        <v>316</v>
      </c>
      <c r="C50" s="4" t="s">
        <v>109</v>
      </c>
      <c r="D50" s="4">
        <v>0.006189833346106003</v>
      </c>
      <c r="E50" s="5" t="s">
        <v>2</v>
      </c>
      <c r="F50" s="4" t="s">
        <v>220</v>
      </c>
    </row>
    <row r="51" spans="1:6" x14ac:dyDescent="0.25">
      <c r="A51" s="4" t="s">
        <v>317</v>
      </c>
      <c r="B51" s="4" t="s">
        <v>318</v>
      </c>
      <c r="C51" s="4" t="s">
        <v>109</v>
      </c>
      <c r="D51" s="4">
        <v>0.03537047626346288</v>
      </c>
      <c r="E51" s="5" t="s">
        <v>2</v>
      </c>
      <c r="F51" s="4" t="s">
        <v>220</v>
      </c>
    </row>
    <row r="52" spans="1:6" x14ac:dyDescent="0.25">
      <c r="A52" s="4" t="s">
        <v>319</v>
      </c>
      <c r="B52" s="4" t="s">
        <v>320</v>
      </c>
      <c r="C52" s="4" t="s">
        <v>111</v>
      </c>
      <c r="D52" s="4">
        <v>0.00884261906586572</v>
      </c>
      <c r="E52" s="5" t="s">
        <v>2</v>
      </c>
      <c r="F52" s="4" t="s">
        <v>220</v>
      </c>
    </row>
    <row r="53" spans="1:6" x14ac:dyDescent="0.25">
      <c r="A53" s="4" t="s">
        <v>321</v>
      </c>
      <c r="B53" s="4" t="s">
        <v>322</v>
      </c>
      <c r="C53" s="4" t="s">
        <v>109</v>
      </c>
      <c r="D53" s="4">
        <v>0.020632777820353346</v>
      </c>
      <c r="E53" s="5" t="s">
        <v>2</v>
      </c>
      <c r="F53" s="4" t="s">
        <v>220</v>
      </c>
    </row>
    <row r="54" spans="1:6" x14ac:dyDescent="0.25">
      <c r="A54" s="4" t="s">
        <v>323</v>
      </c>
      <c r="B54" s="4" t="s">
        <v>324</v>
      </c>
      <c r="C54" s="4" t="s">
        <v>113</v>
      </c>
      <c r="D54" s="4">
        <v>0.01296917462993639</v>
      </c>
      <c r="E54" s="5" t="s">
        <v>2</v>
      </c>
      <c r="F54" s="4" t="s">
        <v>220</v>
      </c>
    </row>
    <row r="55" spans="1:6" x14ac:dyDescent="0.25">
      <c r="A55" s="4" t="s">
        <v>325</v>
      </c>
      <c r="B55" s="4" t="s">
        <v>326</v>
      </c>
      <c r="C55" s="4" t="s">
        <v>115</v>
      </c>
      <c r="D55" s="4">
        <v>0.0019453761944904584</v>
      </c>
      <c r="E55" s="5" t="s">
        <v>2</v>
      </c>
      <c r="F55" s="4" t="s">
        <v>220</v>
      </c>
    </row>
    <row r="56" spans="1:6" x14ac:dyDescent="0.25">
      <c r="A56" s="4" t="s">
        <v>327</v>
      </c>
      <c r="B56" s="4" t="s">
        <v>328</v>
      </c>
      <c r="C56" s="4" t="s">
        <v>109</v>
      </c>
      <c r="D56" s="4">
        <v>0.014737698443109534</v>
      </c>
      <c r="E56" s="5" t="s">
        <v>2</v>
      </c>
      <c r="F56" s="4" t="s">
        <v>220</v>
      </c>
    </row>
    <row r="57" spans="1:6" x14ac:dyDescent="0.25">
      <c r="A57" s="4" t="s">
        <v>329</v>
      </c>
      <c r="B57" s="4" t="s">
        <v>330</v>
      </c>
      <c r="C57" s="4" t="s">
        <v>111</v>
      </c>
      <c r="D57" s="4">
        <v>0.04716063501795051</v>
      </c>
      <c r="E57" s="5" t="s">
        <v>2</v>
      </c>
      <c r="F57" s="4" t="s">
        <v>220</v>
      </c>
    </row>
    <row r="58" spans="1:6" x14ac:dyDescent="0.25">
      <c r="A58" s="4" t="s">
        <v>331</v>
      </c>
      <c r="B58" s="4" t="s">
        <v>332</v>
      </c>
      <c r="C58" s="4" t="s">
        <v>111</v>
      </c>
      <c r="D58" s="4">
        <v>0.011790158754487627</v>
      </c>
      <c r="E58" s="5" t="s">
        <v>2</v>
      </c>
      <c r="F58" s="4" t="s">
        <v>220</v>
      </c>
    </row>
    <row r="59" spans="1:6" x14ac:dyDescent="0.25">
      <c r="A59" s="4" t="s">
        <v>333</v>
      </c>
      <c r="B59" s="4" t="s">
        <v>334</v>
      </c>
      <c r="C59" s="4" t="s">
        <v>115</v>
      </c>
      <c r="D59" s="4">
        <v>0.003890752388980917</v>
      </c>
      <c r="E59" s="5" t="s">
        <v>2</v>
      </c>
      <c r="F59" s="4" t="s">
        <v>220</v>
      </c>
    </row>
    <row r="60" spans="1:6" x14ac:dyDescent="0.25">
      <c r="A60" s="4" t="s">
        <v>335</v>
      </c>
      <c r="B60" s="4" t="s">
        <v>336</v>
      </c>
      <c r="C60" s="4" t="s">
        <v>111</v>
      </c>
      <c r="D60" s="4">
        <v>0.0058950793772438136</v>
      </c>
      <c r="E60" s="5" t="s">
        <v>2</v>
      </c>
      <c r="F60" s="4" t="s">
        <v>220</v>
      </c>
    </row>
    <row r="61" spans="1:6" x14ac:dyDescent="0.25">
      <c r="A61" s="4" t="s">
        <v>337</v>
      </c>
      <c r="B61" s="4" t="s">
        <v>338</v>
      </c>
      <c r="C61" s="4" t="s">
        <v>115</v>
      </c>
      <c r="D61" s="4">
        <v>0.003890752388980917</v>
      </c>
      <c r="E61" s="5" t="s">
        <v>2</v>
      </c>
      <c r="F61" s="4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44" customWidth="1"/>
    <col min="2" max="2" width="20" customWidth="1"/>
    <col min="3" max="3" width="76" customWidth="1"/>
  </cols>
  <sheetData>
    <row r="1" spans="1:3" x14ac:dyDescent="0.25">
      <c r="A1" s="3" t="s">
        <v>339</v>
      </c>
      <c r="B1" s="3" t="s">
        <v>340</v>
      </c>
      <c r="C1" s="3" t="s">
        <v>341</v>
      </c>
    </row>
    <row r="2" spans="1:3" x14ac:dyDescent="0.25">
      <c r="A2" t="s">
        <v>342</v>
      </c>
      <c r="B2" s="6">
        <f>SUM('Flow Classes'!Q2:Q5)</f>
      </c>
      <c r="C2" s="4" t="s">
        <v>343</v>
      </c>
    </row>
    <row r="3" spans="1:3" x14ac:dyDescent="0.25">
      <c r="A3" t="s">
        <v>344</v>
      </c>
      <c r="B3" s="6">
        <f>SUM('Flow Classes'!R2:R5)</f>
      </c>
      <c r="C3" s="4" t="s">
        <v>345</v>
      </c>
    </row>
    <row r="4" spans="1:3" x14ac:dyDescent="0.25">
      <c r="A4" t="s">
        <v>346</v>
      </c>
      <c r="B4" s="6">
        <f>SUM('Flow Classes'!S2:S5)+6000*Inputs!$C$5</f>
      </c>
      <c r="C4" s="4" t="s">
        <v>347</v>
      </c>
    </row>
    <row r="5" spans="1:3" x14ac:dyDescent="0.25">
      <c r="A5" t="s">
        <v>348</v>
      </c>
      <c r="B5" s="6">
        <f>SUM('Flow Classes'!T2:T5)</f>
      </c>
      <c r="C5" s="4" t="s">
        <v>349</v>
      </c>
    </row>
    <row r="6" spans="1:3" x14ac:dyDescent="0.25">
      <c r="A6" t="s">
        <v>350</v>
      </c>
      <c r="B6" s="6">
        <f>SUM('Flow Classes'!U2:U5)</f>
      </c>
      <c r="C6" s="4" t="s">
        <v>351</v>
      </c>
    </row>
    <row r="7" spans="1:3" x14ac:dyDescent="0.25">
      <c r="A7" t="s">
        <v>352</v>
      </c>
      <c r="B7" s="6">
        <f>(40000+12000*Inputs!$C$4+8000*Inputs!$C$5)/IF(Inputs!$C$14="",3,Inputs!$C$14)</f>
      </c>
      <c r="C7" s="4" t="s">
        <v>353</v>
      </c>
    </row>
    <row r="8" spans="1:3" s="7" customFormat="1" x14ac:dyDescent="0.25">
      <c r="A8" s="7" t="s">
        <v>354</v>
      </c>
      <c r="B8" s="8">
        <f>B2+B3+B4+B5+B6+B7</f>
      </c>
      <c r="C8" s="7" t="s">
        <v>355</v>
      </c>
    </row>
    <row r="9" spans="1:3" x14ac:dyDescent="0.25">
      <c r="A9" t="s">
        <v>356</v>
      </c>
      <c r="B9" s="6">
        <f>SUM('Flow Classes'!V2:V5)</f>
      </c>
      <c r="C9" s="4" t="s">
        <v>357</v>
      </c>
    </row>
    <row r="10" spans="1:3" s="9" customFormat="1" x14ac:dyDescent="0.25">
      <c r="A10" s="9" t="s">
        <v>358</v>
      </c>
      <c r="B10" s="10">
        <f>B9-B8</f>
      </c>
      <c r="C10" s="9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Inputs</vt:lpstr>
      <vt:lpstr>Ref</vt:lpstr>
      <vt:lpstr>Flow Classes</vt:lpstr>
      <vt:lpstr>Assumptions</vt:lpstr>
      <vt:lpstr>Model Stack</vt:lpstr>
      <vt:lpstr>Systems</vt:lpstr>
      <vt:lpstr>Intent Mix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 Intent Flow Cost-Benefit Explorer</dc:creator>
  <dc:title/>
  <dc:subject/>
  <dc:description/>
  <cp:keywords/>
  <cp:category/>
  <cp:lastModifiedBy>Unknown</cp:lastModifiedBy>
  <dcterms:created xsi:type="dcterms:W3CDTF">2026-08-06T11:37:46Z</dcterms:created>
  <dcterms:modified xsi:type="dcterms:W3CDTF">2026-08-06T11:37:46Z</dcterms:modified>
</cp:coreProperties>
</file>